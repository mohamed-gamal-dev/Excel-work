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4305826C-A6FA-4D74-954C-B552856BE0A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Formulas Intr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2" i="1"/>
</calcChain>
</file>

<file path=xl/sharedStrings.xml><?xml version="1.0" encoding="utf-8"?>
<sst xmlns="http://schemas.openxmlformats.org/spreadsheetml/2006/main" count="87" uniqueCount="32">
  <si>
    <t>Job Title</t>
  </si>
  <si>
    <t>Experience (Years)</t>
  </si>
  <si>
    <t>Annual Salary ($USD)</t>
  </si>
  <si>
    <t>Bonus Max ($USD)</t>
  </si>
  <si>
    <t>Total Salary (+)</t>
  </si>
  <si>
    <t>Meets Experience</t>
  </si>
  <si>
    <t>Meets Salary</t>
  </si>
  <si>
    <t>Meets Both (1 or 0)</t>
  </si>
  <si>
    <t>Meets Both</t>
  </si>
  <si>
    <t>Fencer</t>
  </si>
  <si>
    <t>Table Tennis Player</t>
  </si>
  <si>
    <t>Basketball Player</t>
  </si>
  <si>
    <t>Marathon Runner</t>
  </si>
  <si>
    <t>Rugby Player</t>
  </si>
  <si>
    <t>Skier</t>
  </si>
  <si>
    <t>Swimmer</t>
  </si>
  <si>
    <t>Golfer</t>
  </si>
  <si>
    <t>Cricket Player</t>
  </si>
  <si>
    <t>Hockey Player</t>
  </si>
  <si>
    <t>Football Player</t>
  </si>
  <si>
    <t>Cyclist</t>
  </si>
  <si>
    <t>Snowboarder</t>
  </si>
  <si>
    <t>Boxer</t>
  </si>
  <si>
    <t>Baseball Player</t>
  </si>
  <si>
    <t>Experience (=)</t>
  </si>
  <si>
    <t>Bonus Rate (/)</t>
  </si>
  <si>
    <t>Confirm Total Salary</t>
  </si>
  <si>
    <t>Does Total Salary = Confirmed Salary?</t>
  </si>
  <si>
    <t>Is Bonus &gt; Annual Salary?</t>
  </si>
  <si>
    <t>Job Goals:</t>
  </si>
  <si>
    <t>Experience (&lt;=)</t>
  </si>
  <si>
    <t>Total Salary (&gt;=)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</si>
</sst>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color theme="1"/>
      <name val="Calibri"/>
      <family val="2"/>
    </font>
    <font>
      <b/>
      <u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/>
    <xf numFmtId="0" fontId="4" fillId="0" borderId="0" xfId="0" applyFont="1"/>
    <xf numFmtId="0" fontId="2" fillId="0" borderId="2" xfId="0" applyFont="1" applyBorder="1"/>
    <xf numFmtId="0" fontId="4" fillId="0" borderId="3" xfId="0" applyFont="1" applyBorder="1"/>
    <xf numFmtId="0" fontId="2" fillId="0" borderId="4" xfId="0" applyFont="1" applyBorder="1"/>
    <xf numFmtId="0" fontId="4" fillId="0" borderId="5" xfId="0" applyFont="1" applyBorder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1"/>
  <sheetViews>
    <sheetView tabSelected="1" topLeftCell="G48" workbookViewId="0">
      <selection activeCell="N2" sqref="N2:N71"/>
    </sheetView>
  </sheetViews>
  <sheetFormatPr defaultRowHeight="13.8" x14ac:dyDescent="0.25"/>
  <cols>
    <col min="1" max="1" width="16.69921875" bestFit="1" customWidth="1"/>
    <col min="2" max="2" width="17.8984375" bestFit="1" customWidth="1"/>
    <col min="3" max="3" width="19.09765625" bestFit="1" customWidth="1"/>
    <col min="4" max="4" width="16.796875" bestFit="1" customWidth="1"/>
    <col min="5" max="5" width="13.69921875" bestFit="1" customWidth="1"/>
    <col min="6" max="6" width="15.8984375" bestFit="1" customWidth="1"/>
    <col min="7" max="7" width="13.19921875" bestFit="1" customWidth="1"/>
    <col min="8" max="8" width="17.296875" bestFit="1" customWidth="1"/>
    <col min="9" max="9" width="33.09765625" bestFit="1" customWidth="1"/>
    <col min="10" max="10" width="22.69921875" bestFit="1" customWidth="1"/>
    <col min="11" max="11" width="15.8984375" bestFit="1" customWidth="1"/>
    <col min="12" max="12" width="11.796875" bestFit="1" customWidth="1"/>
    <col min="13" max="13" width="17.296875" bestFit="1" customWidth="1"/>
    <col min="14" max="14" width="10.69921875" bestFit="1" customWidth="1"/>
    <col min="16" max="16" width="14.69921875" bestFit="1" customWidth="1"/>
    <col min="17" max="17" width="6" bestFit="1" customWidth="1"/>
  </cols>
  <sheetData>
    <row r="1" spans="1:17" ht="14.4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24</v>
      </c>
      <c r="F1" s="2" t="s">
        <v>4</v>
      </c>
      <c r="G1" s="2" t="s">
        <v>25</v>
      </c>
      <c r="H1" s="2" t="s">
        <v>26</v>
      </c>
      <c r="I1" s="2" t="s">
        <v>27</v>
      </c>
      <c r="J1" s="2" t="s">
        <v>28</v>
      </c>
      <c r="K1" s="2" t="s">
        <v>5</v>
      </c>
      <c r="L1" s="2" t="s">
        <v>6</v>
      </c>
      <c r="M1" s="2" t="s">
        <v>7</v>
      </c>
      <c r="N1" s="2" t="s">
        <v>8</v>
      </c>
    </row>
    <row r="2" spans="1:17" ht="15" thickBot="1" x14ac:dyDescent="0.35">
      <c r="A2" t="s">
        <v>9</v>
      </c>
      <c r="B2">
        <v>2</v>
      </c>
      <c r="C2">
        <v>162244</v>
      </c>
      <c r="D2">
        <v>7379</v>
      </c>
      <c r="E2">
        <f>B2</f>
        <v>2</v>
      </c>
      <c r="F2">
        <f>C2+D2</f>
        <v>169623</v>
      </c>
      <c r="G2" s="9">
        <f>D2/C2</f>
        <v>4.5480880648899186E-2</v>
      </c>
      <c r="H2">
        <f>C2+C2*G2</f>
        <v>169623</v>
      </c>
      <c r="I2" t="str">
        <f>IF(F2=H2,"Y","N")</f>
        <v>Y</v>
      </c>
      <c r="J2" t="b">
        <f>IF(D2&gt;C2,TRUE,FALSE)</f>
        <v>0</v>
      </c>
      <c r="K2" t="b">
        <f>IF(B2&lt;=12,TRUE,FALSE)</f>
        <v>1</v>
      </c>
      <c r="L2" t="b">
        <f>IF(F2&gt;=$Q$4,TRUE,FALSE)</f>
        <v>1</v>
      </c>
      <c r="M2">
        <f>K2*L2</f>
        <v>1</v>
      </c>
      <c r="N2" t="b">
        <f>K2*L2=1</f>
        <v>1</v>
      </c>
      <c r="P2" s="3" t="s">
        <v>29</v>
      </c>
      <c r="Q2" s="4"/>
    </row>
    <row r="3" spans="1:17" ht="14.4" x14ac:dyDescent="0.3">
      <c r="A3" t="s">
        <v>10</v>
      </c>
      <c r="B3">
        <v>8</v>
      </c>
      <c r="C3">
        <v>50665</v>
      </c>
      <c r="D3">
        <v>5814</v>
      </c>
      <c r="E3">
        <f t="shared" ref="E3:E66" si="0">B3</f>
        <v>8</v>
      </c>
      <c r="F3">
        <f t="shared" ref="F3:F66" si="1">C3+D3</f>
        <v>56479</v>
      </c>
      <c r="G3" s="9">
        <f t="shared" ref="G3:G66" si="2">D3/C3</f>
        <v>0.11475377479522353</v>
      </c>
      <c r="H3">
        <f t="shared" ref="H3:H66" si="3">C3+C3*G3</f>
        <v>56479</v>
      </c>
      <c r="I3" t="str">
        <f t="shared" ref="I3:I66" si="4">IF(F3=H3,"Y","N")</f>
        <v>Y</v>
      </c>
      <c r="J3" t="b">
        <f t="shared" ref="J3:J66" si="5">IF(D3&gt;C3,TRUE,FALSE)</f>
        <v>0</v>
      </c>
      <c r="K3" t="b">
        <f t="shared" ref="K3:K66" si="6">IF(B3&lt;=12,TRUE,FALSE)</f>
        <v>1</v>
      </c>
      <c r="L3" t="b">
        <f t="shared" ref="L3:L66" si="7">IF(F3&gt;=$Q$4,TRUE,FALSE)</f>
        <v>1</v>
      </c>
      <c r="M3">
        <f t="shared" ref="M3:M66" si="8">K3*L3</f>
        <v>1</v>
      </c>
      <c r="N3" t="b">
        <f t="shared" ref="N3:N66" si="9">K3*L3=1</f>
        <v>1</v>
      </c>
      <c r="P3" s="5" t="s">
        <v>30</v>
      </c>
      <c r="Q3" s="6">
        <v>12</v>
      </c>
    </row>
    <row r="4" spans="1:17" ht="15" thickBot="1" x14ac:dyDescent="0.35">
      <c r="A4" t="s">
        <v>11</v>
      </c>
      <c r="B4">
        <v>5</v>
      </c>
      <c r="C4">
        <v>170546</v>
      </c>
      <c r="D4">
        <v>12921</v>
      </c>
      <c r="E4">
        <f t="shared" si="0"/>
        <v>5</v>
      </c>
      <c r="F4">
        <f t="shared" si="1"/>
        <v>183467</v>
      </c>
      <c r="G4" s="9">
        <f t="shared" si="2"/>
        <v>7.5762550866042E-2</v>
      </c>
      <c r="H4">
        <f t="shared" si="3"/>
        <v>183467</v>
      </c>
      <c r="I4" t="str">
        <f t="shared" si="4"/>
        <v>Y</v>
      </c>
      <c r="J4" t="b">
        <f t="shared" si="5"/>
        <v>0</v>
      </c>
      <c r="K4" t="b">
        <f t="shared" si="6"/>
        <v>1</v>
      </c>
      <c r="L4" t="b">
        <f t="shared" si="7"/>
        <v>1</v>
      </c>
      <c r="M4">
        <f t="shared" si="8"/>
        <v>1</v>
      </c>
      <c r="N4" t="b">
        <f t="shared" si="9"/>
        <v>1</v>
      </c>
      <c r="P4" s="7" t="s">
        <v>31</v>
      </c>
      <c r="Q4" s="8">
        <v>13060</v>
      </c>
    </row>
    <row r="5" spans="1:17" x14ac:dyDescent="0.25">
      <c r="A5" t="s">
        <v>12</v>
      </c>
      <c r="B5">
        <v>4</v>
      </c>
      <c r="C5">
        <v>73077</v>
      </c>
      <c r="D5">
        <v>5188</v>
      </c>
      <c r="E5">
        <f t="shared" si="0"/>
        <v>4</v>
      </c>
      <c r="F5">
        <f t="shared" si="1"/>
        <v>78265</v>
      </c>
      <c r="G5" s="9">
        <f t="shared" si="2"/>
        <v>7.0993609480411071E-2</v>
      </c>
      <c r="H5">
        <f t="shared" si="3"/>
        <v>78265</v>
      </c>
      <c r="I5" t="str">
        <f t="shared" si="4"/>
        <v>Y</v>
      </c>
      <c r="J5" t="b">
        <f t="shared" si="5"/>
        <v>0</v>
      </c>
      <c r="K5" t="b">
        <f t="shared" si="6"/>
        <v>1</v>
      </c>
      <c r="L5" t="b">
        <f t="shared" si="7"/>
        <v>1</v>
      </c>
      <c r="M5">
        <f t="shared" si="8"/>
        <v>1</v>
      </c>
      <c r="N5" t="b">
        <f t="shared" si="9"/>
        <v>1</v>
      </c>
    </row>
    <row r="6" spans="1:17" x14ac:dyDescent="0.25">
      <c r="A6" t="s">
        <v>12</v>
      </c>
      <c r="B6">
        <v>15</v>
      </c>
      <c r="C6">
        <v>64106</v>
      </c>
      <c r="D6">
        <v>6964</v>
      </c>
      <c r="E6">
        <f t="shared" si="0"/>
        <v>15</v>
      </c>
      <c r="F6">
        <f t="shared" si="1"/>
        <v>71070</v>
      </c>
      <c r="G6" s="9">
        <f t="shared" si="2"/>
        <v>0.10863257729385704</v>
      </c>
      <c r="H6">
        <f t="shared" si="3"/>
        <v>71070</v>
      </c>
      <c r="I6" t="str">
        <f t="shared" si="4"/>
        <v>Y</v>
      </c>
      <c r="J6" t="b">
        <f t="shared" si="5"/>
        <v>0</v>
      </c>
      <c r="K6" t="b">
        <f t="shared" si="6"/>
        <v>0</v>
      </c>
      <c r="L6" t="b">
        <f t="shared" si="7"/>
        <v>1</v>
      </c>
      <c r="M6">
        <f t="shared" si="8"/>
        <v>0</v>
      </c>
      <c r="N6" t="b">
        <f t="shared" si="9"/>
        <v>0</v>
      </c>
    </row>
    <row r="7" spans="1:17" x14ac:dyDescent="0.25">
      <c r="A7" t="s">
        <v>13</v>
      </c>
      <c r="B7">
        <v>3</v>
      </c>
      <c r="C7">
        <v>174023</v>
      </c>
      <c r="D7">
        <v>9873</v>
      </c>
      <c r="E7">
        <f t="shared" si="0"/>
        <v>3</v>
      </c>
      <c r="F7">
        <f t="shared" si="1"/>
        <v>183896</v>
      </c>
      <c r="G7" s="9">
        <f t="shared" si="2"/>
        <v>5.6733880004367236E-2</v>
      </c>
      <c r="H7">
        <f t="shared" si="3"/>
        <v>183896</v>
      </c>
      <c r="I7" t="str">
        <f t="shared" si="4"/>
        <v>Y</v>
      </c>
      <c r="J7" t="b">
        <f t="shared" si="5"/>
        <v>0</v>
      </c>
      <c r="K7" t="b">
        <f t="shared" si="6"/>
        <v>1</v>
      </c>
      <c r="L7" t="b">
        <f t="shared" si="7"/>
        <v>1</v>
      </c>
      <c r="M7">
        <f t="shared" si="8"/>
        <v>1</v>
      </c>
      <c r="N7" t="b">
        <f t="shared" si="9"/>
        <v>1</v>
      </c>
    </row>
    <row r="8" spans="1:17" x14ac:dyDescent="0.25">
      <c r="A8" t="s">
        <v>14</v>
      </c>
      <c r="B8">
        <v>4</v>
      </c>
      <c r="C8">
        <v>180526</v>
      </c>
      <c r="D8">
        <v>9676</v>
      </c>
      <c r="E8">
        <f t="shared" si="0"/>
        <v>4</v>
      </c>
      <c r="F8">
        <f t="shared" si="1"/>
        <v>190202</v>
      </c>
      <c r="G8" s="9">
        <f t="shared" si="2"/>
        <v>5.3598927578298969E-2</v>
      </c>
      <c r="H8">
        <f t="shared" si="3"/>
        <v>190202</v>
      </c>
      <c r="I8" t="str">
        <f t="shared" si="4"/>
        <v>Y</v>
      </c>
      <c r="J8" t="b">
        <f t="shared" si="5"/>
        <v>0</v>
      </c>
      <c r="K8" t="b">
        <f t="shared" si="6"/>
        <v>1</v>
      </c>
      <c r="L8" t="b">
        <f t="shared" si="7"/>
        <v>1</v>
      </c>
      <c r="M8">
        <f t="shared" si="8"/>
        <v>1</v>
      </c>
      <c r="N8" t="b">
        <f t="shared" si="9"/>
        <v>1</v>
      </c>
    </row>
    <row r="9" spans="1:17" x14ac:dyDescent="0.25">
      <c r="A9" t="s">
        <v>15</v>
      </c>
      <c r="B9">
        <v>5</v>
      </c>
      <c r="C9">
        <v>75970</v>
      </c>
      <c r="D9">
        <v>6416</v>
      </c>
      <c r="E9">
        <f t="shared" si="0"/>
        <v>5</v>
      </c>
      <c r="F9">
        <f t="shared" si="1"/>
        <v>82386</v>
      </c>
      <c r="G9" s="9">
        <f t="shared" si="2"/>
        <v>8.4454389890746343E-2</v>
      </c>
      <c r="H9">
        <f t="shared" si="3"/>
        <v>82386</v>
      </c>
      <c r="I9" t="str">
        <f t="shared" si="4"/>
        <v>Y</v>
      </c>
      <c r="J9" t="b">
        <f t="shared" si="5"/>
        <v>0</v>
      </c>
      <c r="K9" t="b">
        <f t="shared" si="6"/>
        <v>1</v>
      </c>
      <c r="L9" t="b">
        <f t="shared" si="7"/>
        <v>1</v>
      </c>
      <c r="M9">
        <f t="shared" si="8"/>
        <v>1</v>
      </c>
      <c r="N9" t="b">
        <f t="shared" si="9"/>
        <v>1</v>
      </c>
    </row>
    <row r="10" spans="1:17" x14ac:dyDescent="0.25">
      <c r="A10" t="s">
        <v>16</v>
      </c>
      <c r="B10">
        <v>6</v>
      </c>
      <c r="C10">
        <v>114122</v>
      </c>
      <c r="D10">
        <v>8723</v>
      </c>
      <c r="E10">
        <f t="shared" si="0"/>
        <v>6</v>
      </c>
      <c r="F10">
        <f t="shared" si="1"/>
        <v>122845</v>
      </c>
      <c r="G10" s="9">
        <f t="shared" si="2"/>
        <v>7.6435744203571618E-2</v>
      </c>
      <c r="H10">
        <f t="shared" si="3"/>
        <v>122845</v>
      </c>
      <c r="I10" t="str">
        <f t="shared" si="4"/>
        <v>Y</v>
      </c>
      <c r="J10" t="b">
        <f t="shared" si="5"/>
        <v>0</v>
      </c>
      <c r="K10" t="b">
        <f t="shared" si="6"/>
        <v>1</v>
      </c>
      <c r="L10" t="b">
        <f t="shared" si="7"/>
        <v>1</v>
      </c>
      <c r="M10">
        <f t="shared" si="8"/>
        <v>1</v>
      </c>
      <c r="N10" t="b">
        <f t="shared" si="9"/>
        <v>1</v>
      </c>
    </row>
    <row r="11" spans="1:17" x14ac:dyDescent="0.25">
      <c r="A11" t="s">
        <v>17</v>
      </c>
      <c r="B11">
        <v>15</v>
      </c>
      <c r="C11">
        <v>85944</v>
      </c>
      <c r="D11">
        <v>5604</v>
      </c>
      <c r="E11">
        <f t="shared" si="0"/>
        <v>15</v>
      </c>
      <c r="F11">
        <f t="shared" si="1"/>
        <v>91548</v>
      </c>
      <c r="G11" s="9">
        <f t="shared" si="2"/>
        <v>6.5205249930187101E-2</v>
      </c>
      <c r="H11">
        <f t="shared" si="3"/>
        <v>91548</v>
      </c>
      <c r="I11" t="str">
        <f t="shared" si="4"/>
        <v>Y</v>
      </c>
      <c r="J11" t="b">
        <f t="shared" si="5"/>
        <v>0</v>
      </c>
      <c r="K11" t="b">
        <f t="shared" si="6"/>
        <v>0</v>
      </c>
      <c r="L11" t="b">
        <f t="shared" si="7"/>
        <v>1</v>
      </c>
      <c r="M11">
        <f t="shared" si="8"/>
        <v>0</v>
      </c>
      <c r="N11" t="b">
        <f t="shared" si="9"/>
        <v>0</v>
      </c>
    </row>
    <row r="12" spans="1:17" x14ac:dyDescent="0.25">
      <c r="A12" t="s">
        <v>10</v>
      </c>
      <c r="B12">
        <v>15</v>
      </c>
      <c r="C12">
        <v>126421</v>
      </c>
      <c r="D12">
        <v>13282</v>
      </c>
      <c r="E12">
        <f t="shared" si="0"/>
        <v>15</v>
      </c>
      <c r="F12">
        <f t="shared" si="1"/>
        <v>139703</v>
      </c>
      <c r="G12" s="9">
        <f t="shared" si="2"/>
        <v>0.1050616590598081</v>
      </c>
      <c r="H12">
        <f t="shared" si="3"/>
        <v>139703</v>
      </c>
      <c r="I12" t="str">
        <f t="shared" si="4"/>
        <v>Y</v>
      </c>
      <c r="J12" t="b">
        <f t="shared" si="5"/>
        <v>0</v>
      </c>
      <c r="K12" t="b">
        <f t="shared" si="6"/>
        <v>0</v>
      </c>
      <c r="L12" t="b">
        <f t="shared" si="7"/>
        <v>1</v>
      </c>
      <c r="M12">
        <f t="shared" si="8"/>
        <v>0</v>
      </c>
      <c r="N12" t="b">
        <f t="shared" si="9"/>
        <v>0</v>
      </c>
    </row>
    <row r="13" spans="1:17" x14ac:dyDescent="0.25">
      <c r="A13" t="s">
        <v>18</v>
      </c>
      <c r="B13">
        <v>2</v>
      </c>
      <c r="C13">
        <v>193110</v>
      </c>
      <c r="D13">
        <v>18117</v>
      </c>
      <c r="E13">
        <f t="shared" si="0"/>
        <v>2</v>
      </c>
      <c r="F13">
        <f t="shared" si="1"/>
        <v>211227</v>
      </c>
      <c r="G13" s="9">
        <f t="shared" si="2"/>
        <v>9.3816995494795719E-2</v>
      </c>
      <c r="H13">
        <f t="shared" si="3"/>
        <v>211227</v>
      </c>
      <c r="I13" t="str">
        <f t="shared" si="4"/>
        <v>Y</v>
      </c>
      <c r="J13" t="b">
        <f t="shared" si="5"/>
        <v>0</v>
      </c>
      <c r="K13" t="b">
        <f t="shared" si="6"/>
        <v>1</v>
      </c>
      <c r="L13" t="b">
        <f t="shared" si="7"/>
        <v>1</v>
      </c>
      <c r="M13">
        <f t="shared" si="8"/>
        <v>1</v>
      </c>
      <c r="N13" t="b">
        <f t="shared" si="9"/>
        <v>1</v>
      </c>
    </row>
    <row r="14" spans="1:17" x14ac:dyDescent="0.25">
      <c r="A14" t="s">
        <v>19</v>
      </c>
      <c r="B14">
        <v>2</v>
      </c>
      <c r="C14">
        <v>123112</v>
      </c>
      <c r="D14">
        <v>19968</v>
      </c>
      <c r="E14">
        <f t="shared" si="0"/>
        <v>2</v>
      </c>
      <c r="F14">
        <f t="shared" si="1"/>
        <v>143080</v>
      </c>
      <c r="G14" s="9">
        <f t="shared" si="2"/>
        <v>0.16219377477418936</v>
      </c>
      <c r="H14">
        <f t="shared" si="3"/>
        <v>143080</v>
      </c>
      <c r="I14" t="str">
        <f t="shared" si="4"/>
        <v>Y</v>
      </c>
      <c r="J14" t="b">
        <f t="shared" si="5"/>
        <v>0</v>
      </c>
      <c r="K14" t="b">
        <f t="shared" si="6"/>
        <v>1</v>
      </c>
      <c r="L14" t="b">
        <f t="shared" si="7"/>
        <v>1</v>
      </c>
      <c r="M14">
        <f t="shared" si="8"/>
        <v>1</v>
      </c>
      <c r="N14" t="b">
        <f t="shared" si="9"/>
        <v>1</v>
      </c>
    </row>
    <row r="15" spans="1:17" x14ac:dyDescent="0.25">
      <c r="A15" t="s">
        <v>9</v>
      </c>
      <c r="B15">
        <v>5</v>
      </c>
      <c r="C15">
        <v>75153</v>
      </c>
      <c r="D15">
        <v>6473</v>
      </c>
      <c r="E15">
        <f t="shared" si="0"/>
        <v>5</v>
      </c>
      <c r="F15">
        <f t="shared" si="1"/>
        <v>81626</v>
      </c>
      <c r="G15" s="9">
        <f t="shared" si="2"/>
        <v>8.613095950926776E-2</v>
      </c>
      <c r="H15">
        <f t="shared" si="3"/>
        <v>81626</v>
      </c>
      <c r="I15" t="str">
        <f t="shared" si="4"/>
        <v>Y</v>
      </c>
      <c r="J15" t="b">
        <f t="shared" si="5"/>
        <v>0</v>
      </c>
      <c r="K15" t="b">
        <f t="shared" si="6"/>
        <v>1</v>
      </c>
      <c r="L15" t="b">
        <f t="shared" si="7"/>
        <v>1</v>
      </c>
      <c r="M15">
        <f t="shared" si="8"/>
        <v>1</v>
      </c>
      <c r="N15" t="b">
        <f t="shared" si="9"/>
        <v>1</v>
      </c>
    </row>
    <row r="16" spans="1:17" x14ac:dyDescent="0.25">
      <c r="A16" t="s">
        <v>20</v>
      </c>
      <c r="B16">
        <v>11</v>
      </c>
      <c r="C16">
        <v>128790</v>
      </c>
      <c r="D16">
        <v>8965</v>
      </c>
      <c r="E16">
        <f t="shared" si="0"/>
        <v>11</v>
      </c>
      <c r="F16">
        <f t="shared" si="1"/>
        <v>137755</v>
      </c>
      <c r="G16" s="9">
        <f t="shared" si="2"/>
        <v>6.960944172684215E-2</v>
      </c>
      <c r="H16">
        <f t="shared" si="3"/>
        <v>137755</v>
      </c>
      <c r="I16" t="str">
        <f t="shared" si="4"/>
        <v>Y</v>
      </c>
      <c r="J16" t="b">
        <f t="shared" si="5"/>
        <v>0</v>
      </c>
      <c r="K16" t="b">
        <f t="shared" si="6"/>
        <v>1</v>
      </c>
      <c r="L16" t="b">
        <f t="shared" si="7"/>
        <v>1</v>
      </c>
      <c r="M16">
        <f t="shared" si="8"/>
        <v>1</v>
      </c>
      <c r="N16" t="b">
        <f t="shared" si="9"/>
        <v>1</v>
      </c>
    </row>
    <row r="17" spans="1:14" x14ac:dyDescent="0.25">
      <c r="A17" t="s">
        <v>20</v>
      </c>
      <c r="B17">
        <v>9</v>
      </c>
      <c r="C17">
        <v>141070</v>
      </c>
      <c r="D17">
        <v>18923</v>
      </c>
      <c r="E17">
        <f t="shared" si="0"/>
        <v>9</v>
      </c>
      <c r="F17">
        <f t="shared" si="1"/>
        <v>159993</v>
      </c>
      <c r="G17" s="9">
        <f t="shared" si="2"/>
        <v>0.13413907988941659</v>
      </c>
      <c r="H17">
        <f t="shared" si="3"/>
        <v>159993</v>
      </c>
      <c r="I17" t="str">
        <f t="shared" si="4"/>
        <v>Y</v>
      </c>
      <c r="J17" t="b">
        <f t="shared" si="5"/>
        <v>0</v>
      </c>
      <c r="K17" t="b">
        <f t="shared" si="6"/>
        <v>1</v>
      </c>
      <c r="L17" t="b">
        <f t="shared" si="7"/>
        <v>1</v>
      </c>
      <c r="M17">
        <f t="shared" si="8"/>
        <v>1</v>
      </c>
      <c r="N17" t="b">
        <f t="shared" si="9"/>
        <v>1</v>
      </c>
    </row>
    <row r="18" spans="1:14" x14ac:dyDescent="0.25">
      <c r="A18" t="s">
        <v>13</v>
      </c>
      <c r="B18">
        <v>13</v>
      </c>
      <c r="C18">
        <v>184560</v>
      </c>
      <c r="D18">
        <v>15254</v>
      </c>
      <c r="E18">
        <f t="shared" si="0"/>
        <v>13</v>
      </c>
      <c r="F18">
        <f t="shared" si="1"/>
        <v>199814</v>
      </c>
      <c r="G18" s="9">
        <f t="shared" si="2"/>
        <v>8.2650628521889896E-2</v>
      </c>
      <c r="H18">
        <f t="shared" si="3"/>
        <v>199814</v>
      </c>
      <c r="I18" t="str">
        <f t="shared" si="4"/>
        <v>Y</v>
      </c>
      <c r="J18" t="b">
        <f t="shared" si="5"/>
        <v>0</v>
      </c>
      <c r="K18" t="b">
        <f t="shared" si="6"/>
        <v>0</v>
      </c>
      <c r="L18" t="b">
        <f t="shared" si="7"/>
        <v>1</v>
      </c>
      <c r="M18">
        <f t="shared" si="8"/>
        <v>0</v>
      </c>
      <c r="N18" t="b">
        <f t="shared" si="9"/>
        <v>0</v>
      </c>
    </row>
    <row r="19" spans="1:14" x14ac:dyDescent="0.25">
      <c r="A19" t="s">
        <v>17</v>
      </c>
      <c r="B19">
        <v>13</v>
      </c>
      <c r="C19">
        <v>82216</v>
      </c>
      <c r="D19">
        <v>15491</v>
      </c>
      <c r="E19">
        <f t="shared" si="0"/>
        <v>13</v>
      </c>
      <c r="F19">
        <f t="shared" si="1"/>
        <v>97707</v>
      </c>
      <c r="G19" s="9">
        <f t="shared" si="2"/>
        <v>0.1884183127371801</v>
      </c>
      <c r="H19">
        <f t="shared" si="3"/>
        <v>97707</v>
      </c>
      <c r="I19" t="str">
        <f t="shared" si="4"/>
        <v>Y</v>
      </c>
      <c r="J19" t="b">
        <f t="shared" si="5"/>
        <v>0</v>
      </c>
      <c r="K19" t="b">
        <f t="shared" si="6"/>
        <v>0</v>
      </c>
      <c r="L19" t="b">
        <f t="shared" si="7"/>
        <v>1</v>
      </c>
      <c r="M19">
        <f t="shared" si="8"/>
        <v>0</v>
      </c>
      <c r="N19" t="b">
        <f t="shared" si="9"/>
        <v>0</v>
      </c>
    </row>
    <row r="20" spans="1:14" x14ac:dyDescent="0.25">
      <c r="A20" t="s">
        <v>21</v>
      </c>
      <c r="B20">
        <v>13</v>
      </c>
      <c r="C20">
        <v>67365</v>
      </c>
      <c r="D20">
        <v>10836</v>
      </c>
      <c r="E20">
        <f t="shared" si="0"/>
        <v>13</v>
      </c>
      <c r="F20">
        <f t="shared" si="1"/>
        <v>78201</v>
      </c>
      <c r="G20" s="9">
        <f t="shared" si="2"/>
        <v>0.16085504342017368</v>
      </c>
      <c r="H20">
        <f t="shared" si="3"/>
        <v>78201</v>
      </c>
      <c r="I20" t="str">
        <f t="shared" si="4"/>
        <v>Y</v>
      </c>
      <c r="J20" t="b">
        <f t="shared" si="5"/>
        <v>0</v>
      </c>
      <c r="K20" t="b">
        <f t="shared" si="6"/>
        <v>0</v>
      </c>
      <c r="L20" t="b">
        <f t="shared" si="7"/>
        <v>1</v>
      </c>
      <c r="M20">
        <f t="shared" si="8"/>
        <v>0</v>
      </c>
      <c r="N20" t="b">
        <f t="shared" si="9"/>
        <v>0</v>
      </c>
    </row>
    <row r="21" spans="1:14" x14ac:dyDescent="0.25">
      <c r="A21" t="s">
        <v>21</v>
      </c>
      <c r="B21">
        <v>9</v>
      </c>
      <c r="C21">
        <v>171012</v>
      </c>
      <c r="D21">
        <v>10694</v>
      </c>
      <c r="E21">
        <f t="shared" si="0"/>
        <v>9</v>
      </c>
      <c r="F21">
        <f t="shared" si="1"/>
        <v>181706</v>
      </c>
      <c r="G21" s="9">
        <f t="shared" si="2"/>
        <v>6.2533623371459318E-2</v>
      </c>
      <c r="H21">
        <f t="shared" si="3"/>
        <v>181706</v>
      </c>
      <c r="I21" t="str">
        <f t="shared" si="4"/>
        <v>Y</v>
      </c>
      <c r="J21" t="b">
        <f t="shared" si="5"/>
        <v>0</v>
      </c>
      <c r="K21" t="b">
        <f t="shared" si="6"/>
        <v>1</v>
      </c>
      <c r="L21" t="b">
        <f t="shared" si="7"/>
        <v>1</v>
      </c>
      <c r="M21">
        <f t="shared" si="8"/>
        <v>1</v>
      </c>
      <c r="N21" t="b">
        <f t="shared" si="9"/>
        <v>1</v>
      </c>
    </row>
    <row r="22" spans="1:14" x14ac:dyDescent="0.25">
      <c r="A22" t="s">
        <v>21</v>
      </c>
      <c r="B22">
        <v>9</v>
      </c>
      <c r="C22">
        <v>141383</v>
      </c>
      <c r="D22">
        <v>17248</v>
      </c>
      <c r="E22">
        <f t="shared" si="0"/>
        <v>9</v>
      </c>
      <c r="F22">
        <f t="shared" si="1"/>
        <v>158631</v>
      </c>
      <c r="G22" s="9">
        <f t="shared" si="2"/>
        <v>0.12199486501205944</v>
      </c>
      <c r="H22">
        <f t="shared" si="3"/>
        <v>158631</v>
      </c>
      <c r="I22" t="str">
        <f t="shared" si="4"/>
        <v>Y</v>
      </c>
      <c r="J22" t="b">
        <f t="shared" si="5"/>
        <v>0</v>
      </c>
      <c r="K22" t="b">
        <f t="shared" si="6"/>
        <v>1</v>
      </c>
      <c r="L22" t="b">
        <f t="shared" si="7"/>
        <v>1</v>
      </c>
      <c r="M22">
        <f t="shared" si="8"/>
        <v>1</v>
      </c>
      <c r="N22" t="b">
        <f t="shared" si="9"/>
        <v>1</v>
      </c>
    </row>
    <row r="23" spans="1:14" x14ac:dyDescent="0.25">
      <c r="A23" t="s">
        <v>22</v>
      </c>
      <c r="B23">
        <v>15</v>
      </c>
      <c r="C23">
        <v>192879</v>
      </c>
      <c r="D23">
        <v>7771</v>
      </c>
      <c r="E23">
        <f t="shared" si="0"/>
        <v>15</v>
      </c>
      <c r="F23">
        <f t="shared" si="1"/>
        <v>200650</v>
      </c>
      <c r="G23" s="9">
        <f t="shared" si="2"/>
        <v>4.0289507929842025E-2</v>
      </c>
      <c r="H23">
        <f t="shared" si="3"/>
        <v>200650</v>
      </c>
      <c r="I23" t="str">
        <f t="shared" si="4"/>
        <v>Y</v>
      </c>
      <c r="J23" t="b">
        <f t="shared" si="5"/>
        <v>0</v>
      </c>
      <c r="K23" t="b">
        <f t="shared" si="6"/>
        <v>0</v>
      </c>
      <c r="L23" t="b">
        <f t="shared" si="7"/>
        <v>1</v>
      </c>
      <c r="M23">
        <f t="shared" si="8"/>
        <v>0</v>
      </c>
      <c r="N23" t="b">
        <f t="shared" si="9"/>
        <v>0</v>
      </c>
    </row>
    <row r="24" spans="1:14" x14ac:dyDescent="0.25">
      <c r="A24" t="s">
        <v>23</v>
      </c>
      <c r="B24">
        <v>12</v>
      </c>
      <c r="C24">
        <v>196988</v>
      </c>
      <c r="D24">
        <v>7961</v>
      </c>
      <c r="E24">
        <f t="shared" si="0"/>
        <v>12</v>
      </c>
      <c r="F24">
        <f t="shared" si="1"/>
        <v>204949</v>
      </c>
      <c r="G24" s="9">
        <f t="shared" si="2"/>
        <v>4.0413629256604466E-2</v>
      </c>
      <c r="H24">
        <f t="shared" si="3"/>
        <v>204949</v>
      </c>
      <c r="I24" t="str">
        <f t="shared" si="4"/>
        <v>Y</v>
      </c>
      <c r="J24" t="b">
        <f t="shared" si="5"/>
        <v>0</v>
      </c>
      <c r="K24" t="b">
        <f t="shared" si="6"/>
        <v>1</v>
      </c>
      <c r="L24" t="b">
        <f t="shared" si="7"/>
        <v>1</v>
      </c>
      <c r="M24">
        <f t="shared" si="8"/>
        <v>1</v>
      </c>
      <c r="N24" t="b">
        <f t="shared" si="9"/>
        <v>1</v>
      </c>
    </row>
    <row r="25" spans="1:14" x14ac:dyDescent="0.25">
      <c r="A25" t="s">
        <v>17</v>
      </c>
      <c r="B25">
        <v>4</v>
      </c>
      <c r="C25">
        <v>165252</v>
      </c>
      <c r="D25">
        <v>17123</v>
      </c>
      <c r="E25">
        <f t="shared" si="0"/>
        <v>4</v>
      </c>
      <c r="F25">
        <f t="shared" si="1"/>
        <v>182375</v>
      </c>
      <c r="G25" s="9">
        <f t="shared" si="2"/>
        <v>0.10361750538571395</v>
      </c>
      <c r="H25">
        <f t="shared" si="3"/>
        <v>182375</v>
      </c>
      <c r="I25" t="str">
        <f t="shared" si="4"/>
        <v>Y</v>
      </c>
      <c r="J25" t="b">
        <f t="shared" si="5"/>
        <v>0</v>
      </c>
      <c r="K25" t="b">
        <f t="shared" si="6"/>
        <v>1</v>
      </c>
      <c r="L25" t="b">
        <f t="shared" si="7"/>
        <v>1</v>
      </c>
      <c r="M25">
        <f t="shared" si="8"/>
        <v>1</v>
      </c>
      <c r="N25" t="b">
        <f t="shared" si="9"/>
        <v>1</v>
      </c>
    </row>
    <row r="26" spans="1:14" x14ac:dyDescent="0.25">
      <c r="A26" t="s">
        <v>19</v>
      </c>
      <c r="B26">
        <v>5</v>
      </c>
      <c r="C26">
        <v>117534</v>
      </c>
      <c r="D26">
        <v>11320</v>
      </c>
      <c r="E26">
        <f t="shared" si="0"/>
        <v>5</v>
      </c>
      <c r="F26">
        <f t="shared" si="1"/>
        <v>128854</v>
      </c>
      <c r="G26" s="9">
        <f t="shared" si="2"/>
        <v>9.631255636666837E-2</v>
      </c>
      <c r="H26">
        <f t="shared" si="3"/>
        <v>128854</v>
      </c>
      <c r="I26" t="str">
        <f t="shared" si="4"/>
        <v>Y</v>
      </c>
      <c r="J26" t="b">
        <f t="shared" si="5"/>
        <v>0</v>
      </c>
      <c r="K26" t="b">
        <f t="shared" si="6"/>
        <v>1</v>
      </c>
      <c r="L26" t="b">
        <f t="shared" si="7"/>
        <v>1</v>
      </c>
      <c r="M26">
        <f t="shared" si="8"/>
        <v>1</v>
      </c>
      <c r="N26" t="b">
        <f t="shared" si="9"/>
        <v>1</v>
      </c>
    </row>
    <row r="27" spans="1:14" x14ac:dyDescent="0.25">
      <c r="A27" t="s">
        <v>23</v>
      </c>
      <c r="B27">
        <v>15</v>
      </c>
      <c r="C27">
        <v>173445</v>
      </c>
      <c r="D27">
        <v>18421</v>
      </c>
      <c r="E27">
        <f t="shared" si="0"/>
        <v>15</v>
      </c>
      <c r="F27">
        <f t="shared" si="1"/>
        <v>191866</v>
      </c>
      <c r="G27" s="9">
        <f t="shared" si="2"/>
        <v>0.10620657845426504</v>
      </c>
      <c r="H27">
        <f t="shared" si="3"/>
        <v>191866</v>
      </c>
      <c r="I27" t="str">
        <f t="shared" si="4"/>
        <v>Y</v>
      </c>
      <c r="J27" t="b">
        <f t="shared" si="5"/>
        <v>0</v>
      </c>
      <c r="K27" t="b">
        <f t="shared" si="6"/>
        <v>0</v>
      </c>
      <c r="L27" t="b">
        <f t="shared" si="7"/>
        <v>1</v>
      </c>
      <c r="M27">
        <f t="shared" si="8"/>
        <v>0</v>
      </c>
      <c r="N27" t="b">
        <f t="shared" si="9"/>
        <v>0</v>
      </c>
    </row>
    <row r="28" spans="1:14" x14ac:dyDescent="0.25">
      <c r="A28" t="s">
        <v>18</v>
      </c>
      <c r="B28">
        <v>4</v>
      </c>
      <c r="C28">
        <v>189405</v>
      </c>
      <c r="D28">
        <v>10535</v>
      </c>
      <c r="E28">
        <f t="shared" si="0"/>
        <v>4</v>
      </c>
      <c r="F28">
        <f t="shared" si="1"/>
        <v>199940</v>
      </c>
      <c r="G28" s="9">
        <f t="shared" si="2"/>
        <v>5.5621551701380639E-2</v>
      </c>
      <c r="H28">
        <f t="shared" si="3"/>
        <v>199940</v>
      </c>
      <c r="I28" t="str">
        <f t="shared" si="4"/>
        <v>Y</v>
      </c>
      <c r="J28" t="b">
        <f t="shared" si="5"/>
        <v>0</v>
      </c>
      <c r="K28" t="b">
        <f t="shared" si="6"/>
        <v>1</v>
      </c>
      <c r="L28" t="b">
        <f t="shared" si="7"/>
        <v>1</v>
      </c>
      <c r="M28">
        <f t="shared" si="8"/>
        <v>1</v>
      </c>
      <c r="N28" t="b">
        <f t="shared" si="9"/>
        <v>1</v>
      </c>
    </row>
    <row r="29" spans="1:14" x14ac:dyDescent="0.25">
      <c r="A29" t="s">
        <v>22</v>
      </c>
      <c r="B29">
        <v>11</v>
      </c>
      <c r="C29">
        <v>189982</v>
      </c>
      <c r="D29">
        <v>8281</v>
      </c>
      <c r="E29">
        <f t="shared" si="0"/>
        <v>11</v>
      </c>
      <c r="F29">
        <f t="shared" si="1"/>
        <v>198263</v>
      </c>
      <c r="G29" s="9">
        <f t="shared" si="2"/>
        <v>4.3588339947995075E-2</v>
      </c>
      <c r="H29">
        <f t="shared" si="3"/>
        <v>198263</v>
      </c>
      <c r="I29" t="str">
        <f t="shared" si="4"/>
        <v>Y</v>
      </c>
      <c r="J29" t="b">
        <f t="shared" si="5"/>
        <v>0</v>
      </c>
      <c r="K29" t="b">
        <f t="shared" si="6"/>
        <v>1</v>
      </c>
      <c r="L29" t="b">
        <f t="shared" si="7"/>
        <v>1</v>
      </c>
      <c r="M29">
        <f t="shared" si="8"/>
        <v>1</v>
      </c>
      <c r="N29" t="b">
        <f t="shared" si="9"/>
        <v>1</v>
      </c>
    </row>
    <row r="30" spans="1:14" x14ac:dyDescent="0.25">
      <c r="A30" t="s">
        <v>23</v>
      </c>
      <c r="B30">
        <v>5</v>
      </c>
      <c r="C30">
        <v>50936</v>
      </c>
      <c r="D30">
        <v>14213</v>
      </c>
      <c r="E30">
        <f t="shared" si="0"/>
        <v>5</v>
      </c>
      <c r="F30">
        <f t="shared" si="1"/>
        <v>65149</v>
      </c>
      <c r="G30" s="9">
        <f t="shared" si="2"/>
        <v>0.27903643788283333</v>
      </c>
      <c r="H30">
        <f t="shared" si="3"/>
        <v>65149</v>
      </c>
      <c r="I30" t="str">
        <f t="shared" si="4"/>
        <v>Y</v>
      </c>
      <c r="J30" t="b">
        <f t="shared" si="5"/>
        <v>0</v>
      </c>
      <c r="K30" t="b">
        <f t="shared" si="6"/>
        <v>1</v>
      </c>
      <c r="L30" t="b">
        <f t="shared" si="7"/>
        <v>1</v>
      </c>
      <c r="M30">
        <f t="shared" si="8"/>
        <v>1</v>
      </c>
      <c r="N30" t="b">
        <f t="shared" si="9"/>
        <v>1</v>
      </c>
    </row>
    <row r="31" spans="1:14" x14ac:dyDescent="0.25">
      <c r="A31" t="s">
        <v>14</v>
      </c>
      <c r="B31">
        <v>6</v>
      </c>
      <c r="C31">
        <v>90881</v>
      </c>
      <c r="D31">
        <v>16207</v>
      </c>
      <c r="E31">
        <f t="shared" si="0"/>
        <v>6</v>
      </c>
      <c r="F31">
        <f t="shared" si="1"/>
        <v>107088</v>
      </c>
      <c r="G31" s="9">
        <f t="shared" si="2"/>
        <v>0.17833210462032767</v>
      </c>
      <c r="H31">
        <f t="shared" si="3"/>
        <v>107088</v>
      </c>
      <c r="I31" t="str">
        <f t="shared" si="4"/>
        <v>Y</v>
      </c>
      <c r="J31" t="b">
        <f t="shared" si="5"/>
        <v>0</v>
      </c>
      <c r="K31" t="b">
        <f t="shared" si="6"/>
        <v>1</v>
      </c>
      <c r="L31" t="b">
        <f t="shared" si="7"/>
        <v>1</v>
      </c>
      <c r="M31">
        <f t="shared" si="8"/>
        <v>1</v>
      </c>
      <c r="N31" t="b">
        <f t="shared" si="9"/>
        <v>1</v>
      </c>
    </row>
    <row r="32" spans="1:14" x14ac:dyDescent="0.25">
      <c r="A32" t="s">
        <v>13</v>
      </c>
      <c r="B32">
        <v>2</v>
      </c>
      <c r="C32">
        <v>149860</v>
      </c>
      <c r="D32">
        <v>15754</v>
      </c>
      <c r="E32">
        <f t="shared" si="0"/>
        <v>2</v>
      </c>
      <c r="F32">
        <f t="shared" si="1"/>
        <v>165614</v>
      </c>
      <c r="G32" s="9">
        <f t="shared" si="2"/>
        <v>0.10512478313092219</v>
      </c>
      <c r="H32">
        <f t="shared" si="3"/>
        <v>165614</v>
      </c>
      <c r="I32" t="str">
        <f t="shared" si="4"/>
        <v>Y</v>
      </c>
      <c r="J32" t="b">
        <f t="shared" si="5"/>
        <v>0</v>
      </c>
      <c r="K32" t="b">
        <f t="shared" si="6"/>
        <v>1</v>
      </c>
      <c r="L32" t="b">
        <f t="shared" si="7"/>
        <v>1</v>
      </c>
      <c r="M32">
        <f t="shared" si="8"/>
        <v>1</v>
      </c>
      <c r="N32" t="b">
        <f t="shared" si="9"/>
        <v>1</v>
      </c>
    </row>
    <row r="33" spans="1:14" x14ac:dyDescent="0.25">
      <c r="A33" t="s">
        <v>16</v>
      </c>
      <c r="B33">
        <v>4</v>
      </c>
      <c r="C33">
        <v>143174</v>
      </c>
      <c r="D33">
        <v>12240</v>
      </c>
      <c r="E33">
        <f t="shared" si="0"/>
        <v>4</v>
      </c>
      <c r="F33">
        <f t="shared" si="1"/>
        <v>155414</v>
      </c>
      <c r="G33" s="9">
        <f t="shared" si="2"/>
        <v>8.5490382331987649E-2</v>
      </c>
      <c r="H33">
        <f t="shared" si="3"/>
        <v>155414</v>
      </c>
      <c r="I33" t="str">
        <f t="shared" si="4"/>
        <v>Y</v>
      </c>
      <c r="J33" t="b">
        <f t="shared" si="5"/>
        <v>0</v>
      </c>
      <c r="K33" t="b">
        <f t="shared" si="6"/>
        <v>1</v>
      </c>
      <c r="L33" t="b">
        <f t="shared" si="7"/>
        <v>1</v>
      </c>
      <c r="M33">
        <f t="shared" si="8"/>
        <v>1</v>
      </c>
      <c r="N33" t="b">
        <f t="shared" si="9"/>
        <v>1</v>
      </c>
    </row>
    <row r="34" spans="1:14" x14ac:dyDescent="0.25">
      <c r="A34" t="s">
        <v>16</v>
      </c>
      <c r="B34">
        <v>12</v>
      </c>
      <c r="C34">
        <v>52005</v>
      </c>
      <c r="D34">
        <v>7619</v>
      </c>
      <c r="E34">
        <f t="shared" si="0"/>
        <v>12</v>
      </c>
      <c r="F34">
        <f t="shared" si="1"/>
        <v>59624</v>
      </c>
      <c r="G34" s="9">
        <f t="shared" si="2"/>
        <v>0.14650514373617921</v>
      </c>
      <c r="H34">
        <f t="shared" si="3"/>
        <v>59624</v>
      </c>
      <c r="I34" t="str">
        <f t="shared" si="4"/>
        <v>Y</v>
      </c>
      <c r="J34" t="b">
        <f t="shared" si="5"/>
        <v>0</v>
      </c>
      <c r="K34" t="b">
        <f t="shared" si="6"/>
        <v>1</v>
      </c>
      <c r="L34" t="b">
        <f t="shared" si="7"/>
        <v>1</v>
      </c>
      <c r="M34">
        <f t="shared" si="8"/>
        <v>1</v>
      </c>
      <c r="N34" t="b">
        <f t="shared" si="9"/>
        <v>1</v>
      </c>
    </row>
    <row r="35" spans="1:14" x14ac:dyDescent="0.25">
      <c r="A35" t="s">
        <v>14</v>
      </c>
      <c r="B35">
        <v>3</v>
      </c>
      <c r="C35">
        <v>111260</v>
      </c>
      <c r="D35">
        <v>6138</v>
      </c>
      <c r="E35">
        <f t="shared" si="0"/>
        <v>3</v>
      </c>
      <c r="F35">
        <f t="shared" si="1"/>
        <v>117398</v>
      </c>
      <c r="G35" s="9">
        <f t="shared" si="2"/>
        <v>5.5168074779795073E-2</v>
      </c>
      <c r="H35">
        <f t="shared" si="3"/>
        <v>117398</v>
      </c>
      <c r="I35" t="str">
        <f t="shared" si="4"/>
        <v>Y</v>
      </c>
      <c r="J35" t="b">
        <f t="shared" si="5"/>
        <v>0</v>
      </c>
      <c r="K35" t="b">
        <f t="shared" si="6"/>
        <v>1</v>
      </c>
      <c r="L35" t="b">
        <f t="shared" si="7"/>
        <v>1</v>
      </c>
      <c r="M35">
        <f t="shared" si="8"/>
        <v>1</v>
      </c>
      <c r="N35" t="b">
        <f t="shared" si="9"/>
        <v>1</v>
      </c>
    </row>
    <row r="36" spans="1:14" x14ac:dyDescent="0.25">
      <c r="A36" t="s">
        <v>9</v>
      </c>
      <c r="B36">
        <v>2</v>
      </c>
      <c r="C36">
        <v>62494</v>
      </c>
      <c r="D36">
        <v>19958</v>
      </c>
      <c r="E36">
        <f t="shared" si="0"/>
        <v>2</v>
      </c>
      <c r="F36">
        <f t="shared" si="1"/>
        <v>82452</v>
      </c>
      <c r="G36" s="9">
        <f t="shared" si="2"/>
        <v>0.31935865843120942</v>
      </c>
      <c r="H36">
        <f t="shared" si="3"/>
        <v>82452</v>
      </c>
      <c r="I36" t="str">
        <f t="shared" si="4"/>
        <v>Y</v>
      </c>
      <c r="J36" t="b">
        <f t="shared" si="5"/>
        <v>0</v>
      </c>
      <c r="K36" t="b">
        <f t="shared" si="6"/>
        <v>1</v>
      </c>
      <c r="L36" t="b">
        <f t="shared" si="7"/>
        <v>1</v>
      </c>
      <c r="M36">
        <f t="shared" si="8"/>
        <v>1</v>
      </c>
      <c r="N36" t="b">
        <f t="shared" si="9"/>
        <v>1</v>
      </c>
    </row>
    <row r="37" spans="1:14" x14ac:dyDescent="0.25">
      <c r="A37" t="s">
        <v>22</v>
      </c>
      <c r="B37">
        <v>7</v>
      </c>
      <c r="C37">
        <v>197805</v>
      </c>
      <c r="D37">
        <v>18933</v>
      </c>
      <c r="E37">
        <f t="shared" si="0"/>
        <v>7</v>
      </c>
      <c r="F37">
        <f t="shared" si="1"/>
        <v>216738</v>
      </c>
      <c r="G37" s="9">
        <f t="shared" si="2"/>
        <v>9.571547736407067E-2</v>
      </c>
      <c r="H37">
        <f t="shared" si="3"/>
        <v>216738</v>
      </c>
      <c r="I37" t="str">
        <f t="shared" si="4"/>
        <v>Y</v>
      </c>
      <c r="J37" t="b">
        <f t="shared" si="5"/>
        <v>0</v>
      </c>
      <c r="K37" t="b">
        <f t="shared" si="6"/>
        <v>1</v>
      </c>
      <c r="L37" t="b">
        <f t="shared" si="7"/>
        <v>1</v>
      </c>
      <c r="M37">
        <f t="shared" si="8"/>
        <v>1</v>
      </c>
      <c r="N37" t="b">
        <f t="shared" si="9"/>
        <v>1</v>
      </c>
    </row>
    <row r="38" spans="1:14" x14ac:dyDescent="0.25">
      <c r="A38" t="s">
        <v>18</v>
      </c>
      <c r="B38">
        <v>8</v>
      </c>
      <c r="C38">
        <v>178746</v>
      </c>
      <c r="D38">
        <v>8322</v>
      </c>
      <c r="E38">
        <f t="shared" si="0"/>
        <v>8</v>
      </c>
      <c r="F38">
        <f t="shared" si="1"/>
        <v>187068</v>
      </c>
      <c r="G38" s="9">
        <f t="shared" si="2"/>
        <v>4.6557685206941694E-2</v>
      </c>
      <c r="H38">
        <f t="shared" si="3"/>
        <v>187068</v>
      </c>
      <c r="I38" t="str">
        <f t="shared" si="4"/>
        <v>Y</v>
      </c>
      <c r="J38" t="b">
        <f t="shared" si="5"/>
        <v>0</v>
      </c>
      <c r="K38" t="b">
        <f t="shared" si="6"/>
        <v>1</v>
      </c>
      <c r="L38" t="b">
        <f t="shared" si="7"/>
        <v>1</v>
      </c>
      <c r="M38">
        <f t="shared" si="8"/>
        <v>1</v>
      </c>
      <c r="N38" t="b">
        <f t="shared" si="9"/>
        <v>1</v>
      </c>
    </row>
    <row r="39" spans="1:14" x14ac:dyDescent="0.25">
      <c r="A39" t="s">
        <v>18</v>
      </c>
      <c r="B39">
        <v>4</v>
      </c>
      <c r="C39">
        <v>191299</v>
      </c>
      <c r="D39">
        <v>14503</v>
      </c>
      <c r="E39">
        <f t="shared" si="0"/>
        <v>4</v>
      </c>
      <c r="F39">
        <f t="shared" si="1"/>
        <v>205802</v>
      </c>
      <c r="G39" s="9">
        <f t="shared" si="2"/>
        <v>7.5813255688738576E-2</v>
      </c>
      <c r="H39">
        <f t="shared" si="3"/>
        <v>205802</v>
      </c>
      <c r="I39" t="str">
        <f t="shared" si="4"/>
        <v>Y</v>
      </c>
      <c r="J39" t="b">
        <f t="shared" si="5"/>
        <v>0</v>
      </c>
      <c r="K39" t="b">
        <f t="shared" si="6"/>
        <v>1</v>
      </c>
      <c r="L39" t="b">
        <f t="shared" si="7"/>
        <v>1</v>
      </c>
      <c r="M39">
        <f t="shared" si="8"/>
        <v>1</v>
      </c>
      <c r="N39" t="b">
        <f t="shared" si="9"/>
        <v>1</v>
      </c>
    </row>
    <row r="40" spans="1:14" x14ac:dyDescent="0.25">
      <c r="A40" t="s">
        <v>15</v>
      </c>
      <c r="B40">
        <v>11</v>
      </c>
      <c r="C40">
        <v>148180</v>
      </c>
      <c r="D40">
        <v>13542</v>
      </c>
      <c r="E40">
        <f t="shared" si="0"/>
        <v>11</v>
      </c>
      <c r="F40">
        <f t="shared" si="1"/>
        <v>161722</v>
      </c>
      <c r="G40" s="9">
        <f t="shared" si="2"/>
        <v>9.1388851396949661E-2</v>
      </c>
      <c r="H40">
        <f t="shared" si="3"/>
        <v>161722</v>
      </c>
      <c r="I40" t="str">
        <f t="shared" si="4"/>
        <v>Y</v>
      </c>
      <c r="J40" t="b">
        <f t="shared" si="5"/>
        <v>0</v>
      </c>
      <c r="K40" t="b">
        <f t="shared" si="6"/>
        <v>1</v>
      </c>
      <c r="L40" t="b">
        <f t="shared" si="7"/>
        <v>1</v>
      </c>
      <c r="M40">
        <f t="shared" si="8"/>
        <v>1</v>
      </c>
      <c r="N40" t="b">
        <f t="shared" si="9"/>
        <v>1</v>
      </c>
    </row>
    <row r="41" spans="1:14" x14ac:dyDescent="0.25">
      <c r="A41" t="s">
        <v>15</v>
      </c>
      <c r="B41">
        <v>10</v>
      </c>
      <c r="C41">
        <v>125624</v>
      </c>
      <c r="D41">
        <v>14073</v>
      </c>
      <c r="E41">
        <f t="shared" si="0"/>
        <v>10</v>
      </c>
      <c r="F41">
        <f t="shared" si="1"/>
        <v>139697</v>
      </c>
      <c r="G41" s="9">
        <f t="shared" si="2"/>
        <v>0.11202477233649621</v>
      </c>
      <c r="H41">
        <f t="shared" si="3"/>
        <v>139697</v>
      </c>
      <c r="I41" t="str">
        <f t="shared" si="4"/>
        <v>Y</v>
      </c>
      <c r="J41" t="b">
        <f t="shared" si="5"/>
        <v>0</v>
      </c>
      <c r="K41" t="b">
        <f t="shared" si="6"/>
        <v>1</v>
      </c>
      <c r="L41" t="b">
        <f t="shared" si="7"/>
        <v>1</v>
      </c>
      <c r="M41">
        <f t="shared" si="8"/>
        <v>1</v>
      </c>
      <c r="N41" t="b">
        <f t="shared" si="9"/>
        <v>1</v>
      </c>
    </row>
    <row r="42" spans="1:14" x14ac:dyDescent="0.25">
      <c r="A42" t="s">
        <v>23</v>
      </c>
      <c r="B42">
        <v>9</v>
      </c>
      <c r="C42">
        <v>55118</v>
      </c>
      <c r="D42">
        <v>16664</v>
      </c>
      <c r="E42">
        <f t="shared" si="0"/>
        <v>9</v>
      </c>
      <c r="F42">
        <f t="shared" si="1"/>
        <v>71782</v>
      </c>
      <c r="G42" s="9">
        <f t="shared" si="2"/>
        <v>0.30233317609492361</v>
      </c>
      <c r="H42">
        <f t="shared" si="3"/>
        <v>71782</v>
      </c>
      <c r="I42" t="str">
        <f t="shared" si="4"/>
        <v>Y</v>
      </c>
      <c r="J42" t="b">
        <f t="shared" si="5"/>
        <v>0</v>
      </c>
      <c r="K42" t="b">
        <f t="shared" si="6"/>
        <v>1</v>
      </c>
      <c r="L42" t="b">
        <f t="shared" si="7"/>
        <v>1</v>
      </c>
      <c r="M42">
        <f t="shared" si="8"/>
        <v>1</v>
      </c>
      <c r="N42" t="b">
        <f t="shared" si="9"/>
        <v>1</v>
      </c>
    </row>
    <row r="43" spans="1:14" x14ac:dyDescent="0.25">
      <c r="A43" t="s">
        <v>20</v>
      </c>
      <c r="B43">
        <v>4</v>
      </c>
      <c r="C43">
        <v>102149</v>
      </c>
      <c r="D43">
        <v>16523</v>
      </c>
      <c r="E43">
        <f t="shared" si="0"/>
        <v>4</v>
      </c>
      <c r="F43">
        <f t="shared" si="1"/>
        <v>118672</v>
      </c>
      <c r="G43" s="9">
        <f t="shared" si="2"/>
        <v>0.16175390850620172</v>
      </c>
      <c r="H43">
        <f t="shared" si="3"/>
        <v>118672</v>
      </c>
      <c r="I43" t="str">
        <f t="shared" si="4"/>
        <v>Y</v>
      </c>
      <c r="J43" t="b">
        <f t="shared" si="5"/>
        <v>0</v>
      </c>
      <c r="K43" t="b">
        <f t="shared" si="6"/>
        <v>1</v>
      </c>
      <c r="L43" t="b">
        <f t="shared" si="7"/>
        <v>1</v>
      </c>
      <c r="M43">
        <f t="shared" si="8"/>
        <v>1</v>
      </c>
      <c r="N43" t="b">
        <f t="shared" si="9"/>
        <v>1</v>
      </c>
    </row>
    <row r="44" spans="1:14" x14ac:dyDescent="0.25">
      <c r="A44" t="s">
        <v>16</v>
      </c>
      <c r="B44">
        <v>14</v>
      </c>
      <c r="C44">
        <v>153588</v>
      </c>
      <c r="D44">
        <v>14271</v>
      </c>
      <c r="E44">
        <f t="shared" si="0"/>
        <v>14</v>
      </c>
      <c r="F44">
        <f t="shared" si="1"/>
        <v>167859</v>
      </c>
      <c r="G44" s="9">
        <f t="shared" si="2"/>
        <v>9.2917415423079922E-2</v>
      </c>
      <c r="H44">
        <f t="shared" si="3"/>
        <v>167859</v>
      </c>
      <c r="I44" t="str">
        <f t="shared" si="4"/>
        <v>Y</v>
      </c>
      <c r="J44" t="b">
        <f t="shared" si="5"/>
        <v>0</v>
      </c>
      <c r="K44" t="b">
        <f t="shared" si="6"/>
        <v>0</v>
      </c>
      <c r="L44" t="b">
        <f t="shared" si="7"/>
        <v>1</v>
      </c>
      <c r="M44">
        <f t="shared" si="8"/>
        <v>0</v>
      </c>
      <c r="N44" t="b">
        <f t="shared" si="9"/>
        <v>0</v>
      </c>
    </row>
    <row r="45" spans="1:14" x14ac:dyDescent="0.25">
      <c r="A45" t="s">
        <v>19</v>
      </c>
      <c r="B45">
        <v>14</v>
      </c>
      <c r="C45">
        <v>95045</v>
      </c>
      <c r="D45">
        <v>19072</v>
      </c>
      <c r="E45">
        <f t="shared" si="0"/>
        <v>14</v>
      </c>
      <c r="F45">
        <f t="shared" si="1"/>
        <v>114117</v>
      </c>
      <c r="G45" s="9">
        <f t="shared" si="2"/>
        <v>0.20066284391603978</v>
      </c>
      <c r="H45">
        <f t="shared" si="3"/>
        <v>114117</v>
      </c>
      <c r="I45" t="str">
        <f t="shared" si="4"/>
        <v>Y</v>
      </c>
      <c r="J45" t="b">
        <f t="shared" si="5"/>
        <v>0</v>
      </c>
      <c r="K45" t="b">
        <f t="shared" si="6"/>
        <v>0</v>
      </c>
      <c r="L45" t="b">
        <f t="shared" si="7"/>
        <v>1</v>
      </c>
      <c r="M45">
        <f t="shared" si="8"/>
        <v>0</v>
      </c>
      <c r="N45" t="b">
        <f t="shared" si="9"/>
        <v>0</v>
      </c>
    </row>
    <row r="46" spans="1:14" x14ac:dyDescent="0.25">
      <c r="A46" t="s">
        <v>17</v>
      </c>
      <c r="B46">
        <v>11</v>
      </c>
      <c r="C46">
        <v>116680</v>
      </c>
      <c r="D46">
        <v>16927</v>
      </c>
      <c r="E46">
        <f t="shared" si="0"/>
        <v>11</v>
      </c>
      <c r="F46">
        <f t="shared" si="1"/>
        <v>133607</v>
      </c>
      <c r="G46" s="9">
        <f t="shared" si="2"/>
        <v>0.14507199177236887</v>
      </c>
      <c r="H46">
        <f t="shared" si="3"/>
        <v>133607</v>
      </c>
      <c r="I46" t="str">
        <f t="shared" si="4"/>
        <v>Y</v>
      </c>
      <c r="J46" t="b">
        <f t="shared" si="5"/>
        <v>0</v>
      </c>
      <c r="K46" t="b">
        <f t="shared" si="6"/>
        <v>1</v>
      </c>
      <c r="L46" t="b">
        <f t="shared" si="7"/>
        <v>1</v>
      </c>
      <c r="M46">
        <f t="shared" si="8"/>
        <v>1</v>
      </c>
      <c r="N46" t="b">
        <f t="shared" si="9"/>
        <v>1</v>
      </c>
    </row>
    <row r="47" spans="1:14" x14ac:dyDescent="0.25">
      <c r="A47" t="s">
        <v>22</v>
      </c>
      <c r="B47">
        <v>3</v>
      </c>
      <c r="C47">
        <v>68550</v>
      </c>
      <c r="D47">
        <v>6084</v>
      </c>
      <c r="E47">
        <f t="shared" si="0"/>
        <v>3</v>
      </c>
      <c r="F47">
        <f t="shared" si="1"/>
        <v>74634</v>
      </c>
      <c r="G47" s="9">
        <f t="shared" si="2"/>
        <v>8.8752735229759294E-2</v>
      </c>
      <c r="H47">
        <f t="shared" si="3"/>
        <v>74634</v>
      </c>
      <c r="I47" t="str">
        <f t="shared" si="4"/>
        <v>Y</v>
      </c>
      <c r="J47" t="b">
        <f t="shared" si="5"/>
        <v>0</v>
      </c>
      <c r="K47" t="b">
        <f t="shared" si="6"/>
        <v>1</v>
      </c>
      <c r="L47" t="b">
        <f t="shared" si="7"/>
        <v>1</v>
      </c>
      <c r="M47">
        <f t="shared" si="8"/>
        <v>1</v>
      </c>
      <c r="N47" t="b">
        <f t="shared" si="9"/>
        <v>1</v>
      </c>
    </row>
    <row r="48" spans="1:14" x14ac:dyDescent="0.25">
      <c r="A48" t="s">
        <v>16</v>
      </c>
      <c r="B48">
        <v>9</v>
      </c>
      <c r="C48">
        <v>152810</v>
      </c>
      <c r="D48">
        <v>7193</v>
      </c>
      <c r="E48">
        <f t="shared" si="0"/>
        <v>9</v>
      </c>
      <c r="F48">
        <f t="shared" si="1"/>
        <v>160003</v>
      </c>
      <c r="G48" s="9">
        <f t="shared" si="2"/>
        <v>4.7071526732543681E-2</v>
      </c>
      <c r="H48">
        <f t="shared" si="3"/>
        <v>160003</v>
      </c>
      <c r="I48" t="str">
        <f t="shared" si="4"/>
        <v>Y</v>
      </c>
      <c r="J48" t="b">
        <f t="shared" si="5"/>
        <v>0</v>
      </c>
      <c r="K48" t="b">
        <f t="shared" si="6"/>
        <v>1</v>
      </c>
      <c r="L48" t="b">
        <f t="shared" si="7"/>
        <v>1</v>
      </c>
      <c r="M48">
        <f t="shared" si="8"/>
        <v>1</v>
      </c>
      <c r="N48" t="b">
        <f t="shared" si="9"/>
        <v>1</v>
      </c>
    </row>
    <row r="49" spans="1:14" x14ac:dyDescent="0.25">
      <c r="A49" t="s">
        <v>15</v>
      </c>
      <c r="B49">
        <v>5</v>
      </c>
      <c r="C49">
        <v>166107</v>
      </c>
      <c r="D49">
        <v>6773</v>
      </c>
      <c r="E49">
        <f t="shared" si="0"/>
        <v>5</v>
      </c>
      <c r="F49">
        <f t="shared" si="1"/>
        <v>172880</v>
      </c>
      <c r="G49" s="9">
        <f t="shared" si="2"/>
        <v>4.0774922188709685E-2</v>
      </c>
      <c r="H49">
        <f t="shared" si="3"/>
        <v>172880</v>
      </c>
      <c r="I49" t="str">
        <f t="shared" si="4"/>
        <v>Y</v>
      </c>
      <c r="J49" t="b">
        <f t="shared" si="5"/>
        <v>0</v>
      </c>
      <c r="K49" t="b">
        <f t="shared" si="6"/>
        <v>1</v>
      </c>
      <c r="L49" t="b">
        <f t="shared" si="7"/>
        <v>1</v>
      </c>
      <c r="M49">
        <f t="shared" si="8"/>
        <v>1</v>
      </c>
      <c r="N49" t="b">
        <f t="shared" si="9"/>
        <v>1</v>
      </c>
    </row>
    <row r="50" spans="1:14" x14ac:dyDescent="0.25">
      <c r="A50" t="s">
        <v>18</v>
      </c>
      <c r="B50">
        <v>9</v>
      </c>
      <c r="C50">
        <v>166124</v>
      </c>
      <c r="D50">
        <v>9473</v>
      </c>
      <c r="E50">
        <f t="shared" si="0"/>
        <v>9</v>
      </c>
      <c r="F50">
        <f t="shared" si="1"/>
        <v>175597</v>
      </c>
      <c r="G50" s="9">
        <f t="shared" si="2"/>
        <v>5.7023669066480459E-2</v>
      </c>
      <c r="H50">
        <f t="shared" si="3"/>
        <v>175597</v>
      </c>
      <c r="I50" t="str">
        <f t="shared" si="4"/>
        <v>Y</v>
      </c>
      <c r="J50" t="b">
        <f t="shared" si="5"/>
        <v>0</v>
      </c>
      <c r="K50" t="b">
        <f t="shared" si="6"/>
        <v>1</v>
      </c>
      <c r="L50" t="b">
        <f t="shared" si="7"/>
        <v>1</v>
      </c>
      <c r="M50">
        <f t="shared" si="8"/>
        <v>1</v>
      </c>
      <c r="N50" t="b">
        <f t="shared" si="9"/>
        <v>1</v>
      </c>
    </row>
    <row r="51" spans="1:14" x14ac:dyDescent="0.25">
      <c r="A51" t="s">
        <v>12</v>
      </c>
      <c r="B51">
        <v>15</v>
      </c>
      <c r="C51">
        <v>98882</v>
      </c>
      <c r="D51">
        <v>19394</v>
      </c>
      <c r="E51">
        <f t="shared" si="0"/>
        <v>15</v>
      </c>
      <c r="F51">
        <f t="shared" si="1"/>
        <v>118276</v>
      </c>
      <c r="G51" s="9">
        <f t="shared" si="2"/>
        <v>0.1961327643049291</v>
      </c>
      <c r="H51">
        <f t="shared" si="3"/>
        <v>118276</v>
      </c>
      <c r="I51" t="str">
        <f t="shared" si="4"/>
        <v>Y</v>
      </c>
      <c r="J51" t="b">
        <f t="shared" si="5"/>
        <v>0</v>
      </c>
      <c r="K51" t="b">
        <f t="shared" si="6"/>
        <v>0</v>
      </c>
      <c r="L51" t="b">
        <f t="shared" si="7"/>
        <v>1</v>
      </c>
      <c r="M51">
        <f t="shared" si="8"/>
        <v>0</v>
      </c>
      <c r="N51" t="b">
        <f t="shared" si="9"/>
        <v>0</v>
      </c>
    </row>
    <row r="52" spans="1:14" x14ac:dyDescent="0.25">
      <c r="A52" t="s">
        <v>22</v>
      </c>
      <c r="B52">
        <v>15</v>
      </c>
      <c r="C52">
        <v>90948</v>
      </c>
      <c r="D52">
        <v>16380</v>
      </c>
      <c r="E52">
        <f t="shared" si="0"/>
        <v>15</v>
      </c>
      <c r="F52">
        <f t="shared" si="1"/>
        <v>107328</v>
      </c>
      <c r="G52" s="9">
        <f t="shared" si="2"/>
        <v>0.18010291595197256</v>
      </c>
      <c r="H52">
        <f t="shared" si="3"/>
        <v>107328</v>
      </c>
      <c r="I52" t="str">
        <f t="shared" si="4"/>
        <v>Y</v>
      </c>
      <c r="J52" t="b">
        <f t="shared" si="5"/>
        <v>0</v>
      </c>
      <c r="K52" t="b">
        <f t="shared" si="6"/>
        <v>0</v>
      </c>
      <c r="L52" t="b">
        <f t="shared" si="7"/>
        <v>1</v>
      </c>
      <c r="M52">
        <f t="shared" si="8"/>
        <v>0</v>
      </c>
      <c r="N52" t="b">
        <f t="shared" si="9"/>
        <v>0</v>
      </c>
    </row>
    <row r="53" spans="1:14" x14ac:dyDescent="0.25">
      <c r="A53" t="s">
        <v>16</v>
      </c>
      <c r="B53">
        <v>1</v>
      </c>
      <c r="C53">
        <v>70937</v>
      </c>
      <c r="D53">
        <v>7453</v>
      </c>
      <c r="E53">
        <f t="shared" si="0"/>
        <v>1</v>
      </c>
      <c r="F53">
        <f t="shared" si="1"/>
        <v>78390</v>
      </c>
      <c r="G53" s="9">
        <f t="shared" si="2"/>
        <v>0.10506505772727913</v>
      </c>
      <c r="H53">
        <f t="shared" si="3"/>
        <v>78390</v>
      </c>
      <c r="I53" t="str">
        <f t="shared" si="4"/>
        <v>Y</v>
      </c>
      <c r="J53" t="b">
        <f t="shared" si="5"/>
        <v>0</v>
      </c>
      <c r="K53" t="b">
        <f t="shared" si="6"/>
        <v>1</v>
      </c>
      <c r="L53" t="b">
        <f t="shared" si="7"/>
        <v>1</v>
      </c>
      <c r="M53">
        <f t="shared" si="8"/>
        <v>1</v>
      </c>
      <c r="N53" t="b">
        <f t="shared" si="9"/>
        <v>1</v>
      </c>
    </row>
    <row r="54" spans="1:14" x14ac:dyDescent="0.25">
      <c r="A54" t="s">
        <v>13</v>
      </c>
      <c r="B54">
        <v>3</v>
      </c>
      <c r="C54">
        <v>164762</v>
      </c>
      <c r="D54">
        <v>6282</v>
      </c>
      <c r="E54">
        <f t="shared" si="0"/>
        <v>3</v>
      </c>
      <c r="F54">
        <f t="shared" si="1"/>
        <v>171044</v>
      </c>
      <c r="G54" s="9">
        <f t="shared" si="2"/>
        <v>3.8127723625593281E-2</v>
      </c>
      <c r="H54">
        <f t="shared" si="3"/>
        <v>171044</v>
      </c>
      <c r="I54" t="str">
        <f t="shared" si="4"/>
        <v>Y</v>
      </c>
      <c r="J54" t="b">
        <f t="shared" si="5"/>
        <v>0</v>
      </c>
      <c r="K54" t="b">
        <f t="shared" si="6"/>
        <v>1</v>
      </c>
      <c r="L54" t="b">
        <f t="shared" si="7"/>
        <v>1</v>
      </c>
      <c r="M54">
        <f t="shared" si="8"/>
        <v>1</v>
      </c>
      <c r="N54" t="b">
        <f t="shared" si="9"/>
        <v>1</v>
      </c>
    </row>
    <row r="55" spans="1:14" x14ac:dyDescent="0.25">
      <c r="A55" t="s">
        <v>10</v>
      </c>
      <c r="B55">
        <v>8</v>
      </c>
      <c r="C55">
        <v>169197</v>
      </c>
      <c r="D55">
        <v>17089</v>
      </c>
      <c r="E55">
        <f t="shared" si="0"/>
        <v>8</v>
      </c>
      <c r="F55">
        <f t="shared" si="1"/>
        <v>186286</v>
      </c>
      <c r="G55" s="9">
        <f t="shared" si="2"/>
        <v>0.10100060875783849</v>
      </c>
      <c r="H55">
        <f t="shared" si="3"/>
        <v>186286</v>
      </c>
      <c r="I55" t="str">
        <f t="shared" si="4"/>
        <v>Y</v>
      </c>
      <c r="J55" t="b">
        <f t="shared" si="5"/>
        <v>0</v>
      </c>
      <c r="K55" t="b">
        <f t="shared" si="6"/>
        <v>1</v>
      </c>
      <c r="L55" t="b">
        <f t="shared" si="7"/>
        <v>1</v>
      </c>
      <c r="M55">
        <f t="shared" si="8"/>
        <v>1</v>
      </c>
      <c r="N55" t="b">
        <f t="shared" si="9"/>
        <v>1</v>
      </c>
    </row>
    <row r="56" spans="1:14" x14ac:dyDescent="0.25">
      <c r="A56" t="s">
        <v>14</v>
      </c>
      <c r="B56">
        <v>2</v>
      </c>
      <c r="C56">
        <v>183732</v>
      </c>
      <c r="D56">
        <v>5723</v>
      </c>
      <c r="E56">
        <f t="shared" si="0"/>
        <v>2</v>
      </c>
      <c r="F56">
        <f t="shared" si="1"/>
        <v>189455</v>
      </c>
      <c r="G56" s="9">
        <f t="shared" si="2"/>
        <v>3.1148629525613394E-2</v>
      </c>
      <c r="H56">
        <f t="shared" si="3"/>
        <v>189455</v>
      </c>
      <c r="I56" t="str">
        <f t="shared" si="4"/>
        <v>Y</v>
      </c>
      <c r="J56" t="b">
        <f t="shared" si="5"/>
        <v>0</v>
      </c>
      <c r="K56" t="b">
        <f t="shared" si="6"/>
        <v>1</v>
      </c>
      <c r="L56" t="b">
        <f t="shared" si="7"/>
        <v>1</v>
      </c>
      <c r="M56">
        <f t="shared" si="8"/>
        <v>1</v>
      </c>
      <c r="N56" t="b">
        <f t="shared" si="9"/>
        <v>1</v>
      </c>
    </row>
    <row r="57" spans="1:14" x14ac:dyDescent="0.25">
      <c r="A57" t="s">
        <v>23</v>
      </c>
      <c r="B57">
        <v>11</v>
      </c>
      <c r="C57">
        <v>62487</v>
      </c>
      <c r="D57">
        <v>10188</v>
      </c>
      <c r="E57">
        <f t="shared" si="0"/>
        <v>11</v>
      </c>
      <c r="F57">
        <f t="shared" si="1"/>
        <v>72675</v>
      </c>
      <c r="G57" s="9">
        <f t="shared" si="2"/>
        <v>0.16304191271784532</v>
      </c>
      <c r="H57">
        <f t="shared" si="3"/>
        <v>72675</v>
      </c>
      <c r="I57" t="str">
        <f t="shared" si="4"/>
        <v>Y</v>
      </c>
      <c r="J57" t="b">
        <f t="shared" si="5"/>
        <v>0</v>
      </c>
      <c r="K57" t="b">
        <f t="shared" si="6"/>
        <v>1</v>
      </c>
      <c r="L57" t="b">
        <f t="shared" si="7"/>
        <v>1</v>
      </c>
      <c r="M57">
        <f t="shared" si="8"/>
        <v>1</v>
      </c>
      <c r="N57" t="b">
        <f t="shared" si="9"/>
        <v>1</v>
      </c>
    </row>
    <row r="58" spans="1:14" x14ac:dyDescent="0.25">
      <c r="A58" t="s">
        <v>11</v>
      </c>
      <c r="B58">
        <v>10</v>
      </c>
      <c r="C58">
        <v>164450</v>
      </c>
      <c r="D58">
        <v>17361</v>
      </c>
      <c r="E58">
        <f t="shared" si="0"/>
        <v>10</v>
      </c>
      <c r="F58">
        <f t="shared" si="1"/>
        <v>181811</v>
      </c>
      <c r="G58" s="9">
        <f t="shared" si="2"/>
        <v>0.10557008209182123</v>
      </c>
      <c r="H58">
        <f t="shared" si="3"/>
        <v>181811</v>
      </c>
      <c r="I58" t="str">
        <f t="shared" si="4"/>
        <v>Y</v>
      </c>
      <c r="J58" t="b">
        <f t="shared" si="5"/>
        <v>0</v>
      </c>
      <c r="K58" t="b">
        <f t="shared" si="6"/>
        <v>1</v>
      </c>
      <c r="L58" t="b">
        <f t="shared" si="7"/>
        <v>1</v>
      </c>
      <c r="M58">
        <f t="shared" si="8"/>
        <v>1</v>
      </c>
      <c r="N58" t="b">
        <f t="shared" si="9"/>
        <v>1</v>
      </c>
    </row>
    <row r="59" spans="1:14" x14ac:dyDescent="0.25">
      <c r="A59" t="s">
        <v>21</v>
      </c>
      <c r="B59">
        <v>15</v>
      </c>
      <c r="C59">
        <v>50652</v>
      </c>
      <c r="D59">
        <v>10930</v>
      </c>
      <c r="E59">
        <f t="shared" si="0"/>
        <v>15</v>
      </c>
      <c r="F59">
        <f t="shared" si="1"/>
        <v>61582</v>
      </c>
      <c r="G59" s="9">
        <f t="shared" si="2"/>
        <v>0.21578614862196951</v>
      </c>
      <c r="H59">
        <f t="shared" si="3"/>
        <v>61582</v>
      </c>
      <c r="I59" t="str">
        <f t="shared" si="4"/>
        <v>Y</v>
      </c>
      <c r="J59" t="b">
        <f t="shared" si="5"/>
        <v>0</v>
      </c>
      <c r="K59" t="b">
        <f t="shared" si="6"/>
        <v>0</v>
      </c>
      <c r="L59" t="b">
        <f t="shared" si="7"/>
        <v>1</v>
      </c>
      <c r="M59">
        <f t="shared" si="8"/>
        <v>0</v>
      </c>
      <c r="N59" t="b">
        <f t="shared" si="9"/>
        <v>0</v>
      </c>
    </row>
    <row r="60" spans="1:14" x14ac:dyDescent="0.25">
      <c r="A60" t="s">
        <v>16</v>
      </c>
      <c r="B60">
        <v>6</v>
      </c>
      <c r="C60">
        <v>149767</v>
      </c>
      <c r="D60">
        <v>16729</v>
      </c>
      <c r="E60">
        <f t="shared" si="0"/>
        <v>6</v>
      </c>
      <c r="F60">
        <f t="shared" si="1"/>
        <v>166496</v>
      </c>
      <c r="G60" s="9">
        <f t="shared" si="2"/>
        <v>0.11170017427070049</v>
      </c>
      <c r="H60">
        <f t="shared" si="3"/>
        <v>166496</v>
      </c>
      <c r="I60" t="str">
        <f t="shared" si="4"/>
        <v>Y</v>
      </c>
      <c r="J60" t="b">
        <f t="shared" si="5"/>
        <v>0</v>
      </c>
      <c r="K60" t="b">
        <f t="shared" si="6"/>
        <v>1</v>
      </c>
      <c r="L60" t="b">
        <f t="shared" si="7"/>
        <v>1</v>
      </c>
      <c r="M60">
        <f t="shared" si="8"/>
        <v>1</v>
      </c>
      <c r="N60" t="b">
        <f t="shared" si="9"/>
        <v>1</v>
      </c>
    </row>
    <row r="61" spans="1:14" x14ac:dyDescent="0.25">
      <c r="A61" t="s">
        <v>10</v>
      </c>
      <c r="B61">
        <v>9</v>
      </c>
      <c r="C61">
        <v>185141</v>
      </c>
      <c r="D61">
        <v>11880</v>
      </c>
      <c r="E61">
        <f t="shared" si="0"/>
        <v>9</v>
      </c>
      <c r="F61">
        <f t="shared" si="1"/>
        <v>197021</v>
      </c>
      <c r="G61" s="9">
        <f t="shared" si="2"/>
        <v>6.4167310320242407E-2</v>
      </c>
      <c r="H61">
        <f t="shared" si="3"/>
        <v>197021</v>
      </c>
      <c r="I61" t="str">
        <f t="shared" si="4"/>
        <v>Y</v>
      </c>
      <c r="J61" t="b">
        <f t="shared" si="5"/>
        <v>0</v>
      </c>
      <c r="K61" t="b">
        <f t="shared" si="6"/>
        <v>1</v>
      </c>
      <c r="L61" t="b">
        <f t="shared" si="7"/>
        <v>1</v>
      </c>
      <c r="M61">
        <f t="shared" si="8"/>
        <v>1</v>
      </c>
      <c r="N61" t="b">
        <f t="shared" si="9"/>
        <v>1</v>
      </c>
    </row>
    <row r="62" spans="1:14" x14ac:dyDescent="0.25">
      <c r="A62" t="s">
        <v>18</v>
      </c>
      <c r="B62">
        <v>2</v>
      </c>
      <c r="C62">
        <v>97970</v>
      </c>
      <c r="D62">
        <v>17524</v>
      </c>
      <c r="E62">
        <f t="shared" si="0"/>
        <v>2</v>
      </c>
      <c r="F62">
        <f t="shared" si="1"/>
        <v>115494</v>
      </c>
      <c r="G62" s="9">
        <f t="shared" si="2"/>
        <v>0.17887108298458712</v>
      </c>
      <c r="H62">
        <f t="shared" si="3"/>
        <v>115494</v>
      </c>
      <c r="I62" t="str">
        <f t="shared" si="4"/>
        <v>Y</v>
      </c>
      <c r="J62" t="b">
        <f t="shared" si="5"/>
        <v>0</v>
      </c>
      <c r="K62" t="b">
        <f t="shared" si="6"/>
        <v>1</v>
      </c>
      <c r="L62" t="b">
        <f t="shared" si="7"/>
        <v>1</v>
      </c>
      <c r="M62">
        <f t="shared" si="8"/>
        <v>1</v>
      </c>
      <c r="N62" t="b">
        <f t="shared" si="9"/>
        <v>1</v>
      </c>
    </row>
    <row r="63" spans="1:14" x14ac:dyDescent="0.25">
      <c r="A63" t="s">
        <v>14</v>
      </c>
      <c r="B63">
        <v>5</v>
      </c>
      <c r="C63">
        <v>80533</v>
      </c>
      <c r="D63">
        <v>8575</v>
      </c>
      <c r="E63">
        <f t="shared" si="0"/>
        <v>5</v>
      </c>
      <c r="F63">
        <f t="shared" si="1"/>
        <v>89108</v>
      </c>
      <c r="G63" s="9">
        <f t="shared" si="2"/>
        <v>0.10647808972719258</v>
      </c>
      <c r="H63">
        <f t="shared" si="3"/>
        <v>89108</v>
      </c>
      <c r="I63" t="str">
        <f t="shared" si="4"/>
        <v>Y</v>
      </c>
      <c r="J63" t="b">
        <f t="shared" si="5"/>
        <v>0</v>
      </c>
      <c r="K63" t="b">
        <f t="shared" si="6"/>
        <v>1</v>
      </c>
      <c r="L63" t="b">
        <f t="shared" si="7"/>
        <v>1</v>
      </c>
      <c r="M63">
        <f t="shared" si="8"/>
        <v>1</v>
      </c>
      <c r="N63" t="b">
        <f t="shared" si="9"/>
        <v>1</v>
      </c>
    </row>
    <row r="64" spans="1:14" x14ac:dyDescent="0.25">
      <c r="A64" t="s">
        <v>9</v>
      </c>
      <c r="B64">
        <v>4</v>
      </c>
      <c r="C64">
        <v>92835</v>
      </c>
      <c r="D64">
        <v>14824</v>
      </c>
      <c r="E64">
        <f t="shared" si="0"/>
        <v>4</v>
      </c>
      <c r="F64">
        <f t="shared" si="1"/>
        <v>107659</v>
      </c>
      <c r="G64" s="9">
        <f t="shared" si="2"/>
        <v>0.15968115473689881</v>
      </c>
      <c r="H64">
        <f t="shared" si="3"/>
        <v>107659</v>
      </c>
      <c r="I64" t="str">
        <f t="shared" si="4"/>
        <v>Y</v>
      </c>
      <c r="J64" t="b">
        <f t="shared" si="5"/>
        <v>0</v>
      </c>
      <c r="K64" t="b">
        <f t="shared" si="6"/>
        <v>1</v>
      </c>
      <c r="L64" t="b">
        <f t="shared" si="7"/>
        <v>1</v>
      </c>
      <c r="M64">
        <f t="shared" si="8"/>
        <v>1</v>
      </c>
      <c r="N64" t="b">
        <f t="shared" si="9"/>
        <v>1</v>
      </c>
    </row>
    <row r="65" spans="1:14" x14ac:dyDescent="0.25">
      <c r="A65" t="s">
        <v>9</v>
      </c>
      <c r="B65">
        <v>8</v>
      </c>
      <c r="C65">
        <v>66434</v>
      </c>
      <c r="D65">
        <v>15197</v>
      </c>
      <c r="E65">
        <f t="shared" si="0"/>
        <v>8</v>
      </c>
      <c r="F65">
        <f t="shared" si="1"/>
        <v>81631</v>
      </c>
      <c r="G65" s="9">
        <f t="shared" si="2"/>
        <v>0.22875334918866846</v>
      </c>
      <c r="H65">
        <f t="shared" si="3"/>
        <v>81631</v>
      </c>
      <c r="I65" t="str">
        <f t="shared" si="4"/>
        <v>Y</v>
      </c>
      <c r="J65" t="b">
        <f t="shared" si="5"/>
        <v>0</v>
      </c>
      <c r="K65" t="b">
        <f t="shared" si="6"/>
        <v>1</v>
      </c>
      <c r="L65" t="b">
        <f t="shared" si="7"/>
        <v>1</v>
      </c>
      <c r="M65">
        <f t="shared" si="8"/>
        <v>1</v>
      </c>
      <c r="N65" t="b">
        <f t="shared" si="9"/>
        <v>1</v>
      </c>
    </row>
    <row r="66" spans="1:14" x14ac:dyDescent="0.25">
      <c r="A66" t="s">
        <v>16</v>
      </c>
      <c r="B66">
        <v>15</v>
      </c>
      <c r="C66">
        <v>88408</v>
      </c>
      <c r="D66">
        <v>19791</v>
      </c>
      <c r="E66">
        <f t="shared" si="0"/>
        <v>15</v>
      </c>
      <c r="F66">
        <f t="shared" si="1"/>
        <v>108199</v>
      </c>
      <c r="G66" s="9">
        <f t="shared" si="2"/>
        <v>0.22385983168943988</v>
      </c>
      <c r="H66">
        <f t="shared" si="3"/>
        <v>108199</v>
      </c>
      <c r="I66" t="str">
        <f t="shared" si="4"/>
        <v>Y</v>
      </c>
      <c r="J66" t="b">
        <f t="shared" si="5"/>
        <v>0</v>
      </c>
      <c r="K66" t="b">
        <f t="shared" si="6"/>
        <v>0</v>
      </c>
      <c r="L66" t="b">
        <f t="shared" si="7"/>
        <v>1</v>
      </c>
      <c r="M66">
        <f t="shared" si="8"/>
        <v>0</v>
      </c>
      <c r="N66" t="b">
        <f t="shared" si="9"/>
        <v>0</v>
      </c>
    </row>
    <row r="67" spans="1:14" x14ac:dyDescent="0.25">
      <c r="A67" t="s">
        <v>20</v>
      </c>
      <c r="B67">
        <v>7</v>
      </c>
      <c r="C67">
        <v>174669</v>
      </c>
      <c r="D67">
        <v>17304</v>
      </c>
      <c r="E67">
        <f t="shared" ref="E67:E71" si="10">B67</f>
        <v>7</v>
      </c>
      <c r="F67">
        <f t="shared" ref="F67:F71" si="11">C67+D67</f>
        <v>191973</v>
      </c>
      <c r="G67" s="9">
        <f t="shared" ref="G67:G71" si="12">D67/C67</f>
        <v>9.9067378870892953E-2</v>
      </c>
      <c r="H67">
        <f t="shared" ref="H67:H71" si="13">C67+C67*G67</f>
        <v>191973</v>
      </c>
      <c r="I67" t="str">
        <f t="shared" ref="I67:I71" si="14">IF(F67=H67,"Y","N")</f>
        <v>Y</v>
      </c>
      <c r="J67" t="b">
        <f t="shared" ref="J67:J71" si="15">IF(D67&gt;C67,TRUE,FALSE)</f>
        <v>0</v>
      </c>
      <c r="K67" t="b">
        <f t="shared" ref="K67:K71" si="16">IF(B67&lt;=12,TRUE,FALSE)</f>
        <v>1</v>
      </c>
      <c r="L67" t="b">
        <f t="shared" ref="L67:L71" si="17">IF(F67&gt;=$Q$4,TRUE,FALSE)</f>
        <v>1</v>
      </c>
      <c r="M67">
        <f t="shared" ref="M67:M71" si="18">K67*L67</f>
        <v>1</v>
      </c>
      <c r="N67" t="b">
        <f t="shared" ref="N67:N71" si="19">K67*L67=1</f>
        <v>1</v>
      </c>
    </row>
    <row r="68" spans="1:14" x14ac:dyDescent="0.25">
      <c r="A68" t="s">
        <v>16</v>
      </c>
      <c r="B68">
        <v>7</v>
      </c>
      <c r="C68">
        <v>182235</v>
      </c>
      <c r="D68">
        <v>14629</v>
      </c>
      <c r="E68">
        <f t="shared" si="10"/>
        <v>7</v>
      </c>
      <c r="F68">
        <f t="shared" si="11"/>
        <v>196864</v>
      </c>
      <c r="G68" s="9">
        <f t="shared" si="12"/>
        <v>8.027546848849014E-2</v>
      </c>
      <c r="H68">
        <f t="shared" si="13"/>
        <v>196864</v>
      </c>
      <c r="I68" t="str">
        <f t="shared" si="14"/>
        <v>Y</v>
      </c>
      <c r="J68" t="b">
        <f t="shared" si="15"/>
        <v>0</v>
      </c>
      <c r="K68" t="b">
        <f t="shared" si="16"/>
        <v>1</v>
      </c>
      <c r="L68" t="b">
        <f t="shared" si="17"/>
        <v>1</v>
      </c>
      <c r="M68">
        <f t="shared" si="18"/>
        <v>1</v>
      </c>
      <c r="N68" t="b">
        <f t="shared" si="19"/>
        <v>1</v>
      </c>
    </row>
    <row r="69" spans="1:14" x14ac:dyDescent="0.25">
      <c r="A69" t="s">
        <v>14</v>
      </c>
      <c r="B69">
        <v>4</v>
      </c>
      <c r="C69">
        <v>98668</v>
      </c>
      <c r="D69">
        <v>16574</v>
      </c>
      <c r="E69">
        <f t="shared" si="10"/>
        <v>4</v>
      </c>
      <c r="F69">
        <f t="shared" si="11"/>
        <v>115242</v>
      </c>
      <c r="G69" s="9">
        <f t="shared" si="12"/>
        <v>0.16797745976405723</v>
      </c>
      <c r="H69">
        <f t="shared" si="13"/>
        <v>115242</v>
      </c>
      <c r="I69" t="str">
        <f t="shared" si="14"/>
        <v>Y</v>
      </c>
      <c r="J69" t="b">
        <f t="shared" si="15"/>
        <v>0</v>
      </c>
      <c r="K69" t="b">
        <f t="shared" si="16"/>
        <v>1</v>
      </c>
      <c r="L69" t="b">
        <f t="shared" si="17"/>
        <v>1</v>
      </c>
      <c r="M69">
        <f t="shared" si="18"/>
        <v>1</v>
      </c>
      <c r="N69" t="b">
        <f t="shared" si="19"/>
        <v>1</v>
      </c>
    </row>
    <row r="70" spans="1:14" x14ac:dyDescent="0.25">
      <c r="A70" t="s">
        <v>18</v>
      </c>
      <c r="B70">
        <v>4</v>
      </c>
      <c r="C70">
        <v>81877</v>
      </c>
      <c r="D70">
        <v>14042</v>
      </c>
      <c r="E70">
        <f t="shared" si="10"/>
        <v>4</v>
      </c>
      <c r="F70">
        <f t="shared" si="11"/>
        <v>95919</v>
      </c>
      <c r="G70" s="9">
        <f t="shared" si="12"/>
        <v>0.17150115417027981</v>
      </c>
      <c r="H70">
        <f t="shared" si="13"/>
        <v>95919</v>
      </c>
      <c r="I70" t="str">
        <f t="shared" si="14"/>
        <v>Y</v>
      </c>
      <c r="J70" t="b">
        <f t="shared" si="15"/>
        <v>0</v>
      </c>
      <c r="K70" t="b">
        <f t="shared" si="16"/>
        <v>1</v>
      </c>
      <c r="L70" t="b">
        <f t="shared" si="17"/>
        <v>1</v>
      </c>
      <c r="M70">
        <f t="shared" si="18"/>
        <v>1</v>
      </c>
      <c r="N70" t="b">
        <f t="shared" si="19"/>
        <v>1</v>
      </c>
    </row>
    <row r="71" spans="1:14" x14ac:dyDescent="0.25">
      <c r="A71" t="s">
        <v>21</v>
      </c>
      <c r="B71">
        <v>3</v>
      </c>
      <c r="C71">
        <v>174773</v>
      </c>
      <c r="D71">
        <v>8655</v>
      </c>
      <c r="E71">
        <f t="shared" si="10"/>
        <v>3</v>
      </c>
      <c r="F71">
        <f t="shared" si="11"/>
        <v>183428</v>
      </c>
      <c r="G71" s="9">
        <f t="shared" si="12"/>
        <v>4.9521379160396631E-2</v>
      </c>
      <c r="H71">
        <f t="shared" si="13"/>
        <v>183428</v>
      </c>
      <c r="I71" t="str">
        <f t="shared" si="14"/>
        <v>Y</v>
      </c>
      <c r="J71" t="b">
        <f t="shared" si="15"/>
        <v>0</v>
      </c>
      <c r="K71" t="b">
        <f t="shared" si="16"/>
        <v>1</v>
      </c>
      <c r="L71" t="b">
        <f t="shared" si="17"/>
        <v>1</v>
      </c>
      <c r="M71">
        <f t="shared" si="18"/>
        <v>1</v>
      </c>
      <c r="N71" t="b">
        <f t="shared" si="19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Formulas Intro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mohamed gamal</cp:lastModifiedBy>
  <dcterms:created xsi:type="dcterms:W3CDTF">2024-12-14T20:48:54Z</dcterms:created>
  <dcterms:modified xsi:type="dcterms:W3CDTF">2026-01-06T19:23:08Z</dcterms:modified>
</cp:coreProperties>
</file>
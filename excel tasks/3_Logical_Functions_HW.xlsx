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94E7F4E-0B19-4785-8BA6-6A4F21A49FC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termediate" sheetId="1" r:id="rId1"/>
    <sheet name="Challeng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PCWlDbAkINywx8UzDH4XxF+AuP1ctnJNC4exH+lq6c="/>
    </ext>
  </extLst>
</workbook>
</file>

<file path=xl/calcChain.xml><?xml version="1.0" encoding="utf-8"?>
<calcChain xmlns="http://schemas.openxmlformats.org/spreadsheetml/2006/main">
  <c r="M47" i="2" l="1"/>
  <c r="M39" i="2"/>
  <c r="M31" i="2"/>
  <c r="M23" i="2"/>
  <c r="M15" i="2"/>
  <c r="M7" i="2"/>
  <c r="L13" i="2"/>
  <c r="L21" i="2"/>
  <c r="L29" i="2"/>
  <c r="L37" i="2"/>
  <c r="L45" i="2"/>
  <c r="L53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6" i="2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5" i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6" i="2"/>
  <c r="I7" i="2"/>
  <c r="I8" i="2"/>
  <c r="M8" i="2" s="1"/>
  <c r="I9" i="2"/>
  <c r="M9" i="2" s="1"/>
  <c r="I10" i="2"/>
  <c r="M10" i="2" s="1"/>
  <c r="I11" i="2"/>
  <c r="M11" i="2" s="1"/>
  <c r="I12" i="2"/>
  <c r="M12" i="2" s="1"/>
  <c r="I13" i="2"/>
  <c r="M13" i="2" s="1"/>
  <c r="I14" i="2"/>
  <c r="M14" i="2" s="1"/>
  <c r="I15" i="2"/>
  <c r="I16" i="2"/>
  <c r="M16" i="2" s="1"/>
  <c r="I17" i="2"/>
  <c r="M17" i="2" s="1"/>
  <c r="I18" i="2"/>
  <c r="M18" i="2" s="1"/>
  <c r="I19" i="2"/>
  <c r="M19" i="2" s="1"/>
  <c r="I20" i="2"/>
  <c r="M20" i="2" s="1"/>
  <c r="I21" i="2"/>
  <c r="M21" i="2" s="1"/>
  <c r="I22" i="2"/>
  <c r="M22" i="2" s="1"/>
  <c r="I23" i="2"/>
  <c r="I24" i="2"/>
  <c r="M24" i="2" s="1"/>
  <c r="I25" i="2"/>
  <c r="M25" i="2" s="1"/>
  <c r="I26" i="2"/>
  <c r="M26" i="2" s="1"/>
  <c r="I27" i="2"/>
  <c r="M27" i="2" s="1"/>
  <c r="I28" i="2"/>
  <c r="M28" i="2" s="1"/>
  <c r="I29" i="2"/>
  <c r="M29" i="2" s="1"/>
  <c r="I30" i="2"/>
  <c r="M30" i="2" s="1"/>
  <c r="I31" i="2"/>
  <c r="I32" i="2"/>
  <c r="M32" i="2" s="1"/>
  <c r="I33" i="2"/>
  <c r="M33" i="2" s="1"/>
  <c r="I34" i="2"/>
  <c r="M34" i="2" s="1"/>
  <c r="I35" i="2"/>
  <c r="M35" i="2" s="1"/>
  <c r="I36" i="2"/>
  <c r="M36" i="2" s="1"/>
  <c r="I37" i="2"/>
  <c r="M37" i="2" s="1"/>
  <c r="I38" i="2"/>
  <c r="M38" i="2" s="1"/>
  <c r="I39" i="2"/>
  <c r="I40" i="2"/>
  <c r="M40" i="2" s="1"/>
  <c r="I41" i="2"/>
  <c r="M41" i="2" s="1"/>
  <c r="I42" i="2"/>
  <c r="M42" i="2" s="1"/>
  <c r="I43" i="2"/>
  <c r="M43" i="2" s="1"/>
  <c r="I44" i="2"/>
  <c r="M44" i="2" s="1"/>
  <c r="I45" i="2"/>
  <c r="M45" i="2" s="1"/>
  <c r="I46" i="2"/>
  <c r="M46" i="2" s="1"/>
  <c r="I47" i="2"/>
  <c r="I48" i="2"/>
  <c r="M48" i="2" s="1"/>
  <c r="I49" i="2"/>
  <c r="M49" i="2" s="1"/>
  <c r="I50" i="2"/>
  <c r="M50" i="2" s="1"/>
  <c r="I51" i="2"/>
  <c r="M51" i="2" s="1"/>
  <c r="I52" i="2"/>
  <c r="M52" i="2" s="1"/>
  <c r="I53" i="2"/>
  <c r="M53" i="2" s="1"/>
  <c r="I54" i="2"/>
  <c r="M54" i="2" s="1"/>
  <c r="I6" i="2"/>
  <c r="M6" i="2" s="1"/>
  <c r="G8" i="2"/>
  <c r="G15" i="2"/>
  <c r="G16" i="2"/>
  <c r="G19" i="2"/>
  <c r="G23" i="2"/>
  <c r="G24" i="2"/>
  <c r="G27" i="2"/>
  <c r="G31" i="2"/>
  <c r="G32" i="2"/>
  <c r="G35" i="2"/>
  <c r="G39" i="2"/>
  <c r="G40" i="2"/>
  <c r="G43" i="2"/>
  <c r="G47" i="2"/>
  <c r="G48" i="2"/>
  <c r="G51" i="2"/>
  <c r="F6" i="2"/>
  <c r="L6" i="2" s="1"/>
  <c r="F7" i="2"/>
  <c r="L7" i="2" s="1"/>
  <c r="F8" i="2"/>
  <c r="L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L14" i="2" s="1"/>
  <c r="F15" i="2"/>
  <c r="L15" i="2" s="1"/>
  <c r="F16" i="2"/>
  <c r="L16" i="2" s="1"/>
  <c r="F17" i="2"/>
  <c r="G17" i="2" s="1"/>
  <c r="F18" i="2"/>
  <c r="G18" i="2" s="1"/>
  <c r="F19" i="2"/>
  <c r="L19" i="2" s="1"/>
  <c r="F20" i="2"/>
  <c r="G20" i="2" s="1"/>
  <c r="F21" i="2"/>
  <c r="G21" i="2" s="1"/>
  <c r="F22" i="2"/>
  <c r="L22" i="2" s="1"/>
  <c r="F23" i="2"/>
  <c r="L23" i="2" s="1"/>
  <c r="F24" i="2"/>
  <c r="L24" i="2" s="1"/>
  <c r="F25" i="2"/>
  <c r="G25" i="2" s="1"/>
  <c r="F26" i="2"/>
  <c r="G26" i="2" s="1"/>
  <c r="F27" i="2"/>
  <c r="L27" i="2" s="1"/>
  <c r="F28" i="2"/>
  <c r="G28" i="2" s="1"/>
  <c r="F29" i="2"/>
  <c r="G29" i="2" s="1"/>
  <c r="F30" i="2"/>
  <c r="L30" i="2" s="1"/>
  <c r="F31" i="2"/>
  <c r="L31" i="2" s="1"/>
  <c r="F32" i="2"/>
  <c r="L32" i="2" s="1"/>
  <c r="F33" i="2"/>
  <c r="G33" i="2" s="1"/>
  <c r="F34" i="2"/>
  <c r="G34" i="2" s="1"/>
  <c r="F35" i="2"/>
  <c r="L35" i="2" s="1"/>
  <c r="F36" i="2"/>
  <c r="G36" i="2" s="1"/>
  <c r="F37" i="2"/>
  <c r="G37" i="2" s="1"/>
  <c r="F38" i="2"/>
  <c r="L38" i="2" s="1"/>
  <c r="F39" i="2"/>
  <c r="L39" i="2" s="1"/>
  <c r="F40" i="2"/>
  <c r="L40" i="2" s="1"/>
  <c r="F41" i="2"/>
  <c r="G41" i="2" s="1"/>
  <c r="F42" i="2"/>
  <c r="G42" i="2" s="1"/>
  <c r="F43" i="2"/>
  <c r="L43" i="2" s="1"/>
  <c r="F44" i="2"/>
  <c r="G44" i="2" s="1"/>
  <c r="F45" i="2"/>
  <c r="G45" i="2" s="1"/>
  <c r="F46" i="2"/>
  <c r="L46" i="2" s="1"/>
  <c r="F47" i="2"/>
  <c r="L47" i="2" s="1"/>
  <c r="F48" i="2"/>
  <c r="L48" i="2" s="1"/>
  <c r="F49" i="2"/>
  <c r="G49" i="2" s="1"/>
  <c r="F50" i="2"/>
  <c r="G50" i="2" s="1"/>
  <c r="F51" i="2"/>
  <c r="L51" i="2" s="1"/>
  <c r="F52" i="2"/>
  <c r="G52" i="2" s="1"/>
  <c r="F53" i="2"/>
  <c r="G53" i="2" s="1"/>
  <c r="F54" i="2"/>
  <c r="L54" i="2" s="1"/>
  <c r="G7" i="2" l="1"/>
  <c r="L52" i="2"/>
  <c r="L44" i="2"/>
  <c r="L36" i="2"/>
  <c r="L28" i="2"/>
  <c r="L20" i="2"/>
  <c r="L12" i="2"/>
  <c r="G54" i="2"/>
  <c r="G46" i="2"/>
  <c r="G38" i="2"/>
  <c r="G30" i="2"/>
  <c r="G22" i="2"/>
  <c r="G14" i="2"/>
  <c r="L11" i="2"/>
  <c r="G6" i="2"/>
  <c r="L50" i="2"/>
  <c r="L42" i="2"/>
  <c r="L34" i="2"/>
  <c r="L26" i="2"/>
  <c r="L18" i="2"/>
  <c r="L10" i="2"/>
  <c r="L49" i="2"/>
  <c r="L41" i="2"/>
  <c r="L33" i="2"/>
  <c r="L25" i="2"/>
  <c r="L17" i="2"/>
  <c r="L9" i="2"/>
</calcChain>
</file>

<file path=xl/sharedStrings.xml><?xml version="1.0" encoding="utf-8"?>
<sst xmlns="http://schemas.openxmlformats.org/spreadsheetml/2006/main" count="208" uniqueCount="104">
  <si>
    <t>Logical Functions Homework: Intermediate Level</t>
  </si>
  <si>
    <t>Employee ID</t>
  </si>
  <si>
    <t>Department</t>
  </si>
  <si>
    <t>Years of Experience</t>
  </si>
  <si>
    <t>Annual Salary ($)</t>
  </si>
  <si>
    <t>Bonus (%)</t>
  </si>
  <si>
    <t>Bonus Amount ($)</t>
  </si>
  <si>
    <t>Eligible for Promotion?</t>
  </si>
  <si>
    <t>Eligible for Bonus?</t>
  </si>
  <si>
    <t>EMP-001</t>
  </si>
  <si>
    <t>HR</t>
  </si>
  <si>
    <t>EMP-002</t>
  </si>
  <si>
    <t>Operations</t>
  </si>
  <si>
    <t>EMP-003</t>
  </si>
  <si>
    <t>Finance</t>
  </si>
  <si>
    <t>EMP-004</t>
  </si>
  <si>
    <t>IT</t>
  </si>
  <si>
    <t>EMP-005</t>
  </si>
  <si>
    <t>Marketing</t>
  </si>
  <si>
    <t>EMP-006</t>
  </si>
  <si>
    <t>EMP-007</t>
  </si>
  <si>
    <t>EMP-008</t>
  </si>
  <si>
    <t>EMP-009</t>
  </si>
  <si>
    <t>EMP-010</t>
  </si>
  <si>
    <t>EMP-011</t>
  </si>
  <si>
    <t>EMP-012</t>
  </si>
  <si>
    <t>EMP-013</t>
  </si>
  <si>
    <t>EMP-014</t>
  </si>
  <si>
    <t>EMP-015</t>
  </si>
  <si>
    <t>EMP-016</t>
  </si>
  <si>
    <t>EMP-017</t>
  </si>
  <si>
    <t>EMP-018</t>
  </si>
  <si>
    <t>EMP-019</t>
  </si>
  <si>
    <t>Logical Functions Homework: Challenging Level</t>
  </si>
  <si>
    <t>Transaction ID</t>
  </si>
  <si>
    <t>Customer Type</t>
  </si>
  <si>
    <t>Product Category</t>
  </si>
  <si>
    <t>Units Purchased</t>
  </si>
  <si>
    <t>Price per Unit ($)</t>
  </si>
  <si>
    <t>Total Spend ($)</t>
  </si>
  <si>
    <t>Discount (%)</t>
  </si>
  <si>
    <t>Net Spend ($)</t>
  </si>
  <si>
    <t>Is VIP Customer?</t>
  </si>
  <si>
    <t>Eligible for Discount?</t>
  </si>
  <si>
    <t>TRANS-0001</t>
  </si>
  <si>
    <t>Regular</t>
  </si>
  <si>
    <t>Clothing</t>
  </si>
  <si>
    <t>TRANS-0002</t>
  </si>
  <si>
    <t>VIP</t>
  </si>
  <si>
    <t>Furniture</t>
  </si>
  <si>
    <t>TRANS-0003</t>
  </si>
  <si>
    <t>TRANS-0004</t>
  </si>
  <si>
    <t>Toys</t>
  </si>
  <si>
    <t>TRANS-0005</t>
  </si>
  <si>
    <t>New</t>
  </si>
  <si>
    <t>TRANS-0006</t>
  </si>
  <si>
    <t>TRANS-0007</t>
  </si>
  <si>
    <t>Electronics</t>
  </si>
  <si>
    <t>TRANS-0008</t>
  </si>
  <si>
    <t>TRANS-0009</t>
  </si>
  <si>
    <t>TRANS-0010</t>
  </si>
  <si>
    <t>TRANS-0011</t>
  </si>
  <si>
    <t>TRANS-0012</t>
  </si>
  <si>
    <t>TRANS-0013</t>
  </si>
  <si>
    <t>TRANS-0014</t>
  </si>
  <si>
    <t>TRANS-0015</t>
  </si>
  <si>
    <t>TRANS-0016</t>
  </si>
  <si>
    <t>TRANS-0017</t>
  </si>
  <si>
    <t>TRANS-0018</t>
  </si>
  <si>
    <t>Books</t>
  </si>
  <si>
    <t>TRANS-0019</t>
  </si>
  <si>
    <t>TRANS-0020</t>
  </si>
  <si>
    <t>TRANS-0021</t>
  </si>
  <si>
    <t>TRANS-0022</t>
  </si>
  <si>
    <t>TRANS-0023</t>
  </si>
  <si>
    <t>TRANS-0024</t>
  </si>
  <si>
    <t>TRANS-0025</t>
  </si>
  <si>
    <t>TRANS-0026</t>
  </si>
  <si>
    <t>TRANS-0027</t>
  </si>
  <si>
    <t>TRANS-0028</t>
  </si>
  <si>
    <t>TRANS-0029</t>
  </si>
  <si>
    <t>TRANS-0030</t>
  </si>
  <si>
    <t>TRANS-0031</t>
  </si>
  <si>
    <t>TRANS-0032</t>
  </si>
  <si>
    <t>TRANS-0033</t>
  </si>
  <si>
    <t>TRANS-0034</t>
  </si>
  <si>
    <t>TRANS-0035</t>
  </si>
  <si>
    <t>TRANS-0036</t>
  </si>
  <si>
    <t>TRANS-0037</t>
  </si>
  <si>
    <t>TRANS-0038</t>
  </si>
  <si>
    <t>TRANS-0039</t>
  </si>
  <si>
    <t>TRANS-0040</t>
  </si>
  <si>
    <t>TRANS-0041</t>
  </si>
  <si>
    <t>TRANS-0042</t>
  </si>
  <si>
    <t>TRANS-0043</t>
  </si>
  <si>
    <t>TRANS-0044</t>
  </si>
  <si>
    <t>TRANS-0045</t>
  </si>
  <si>
    <t>TRANS-0046</t>
  </si>
  <si>
    <t>TRANS-0047</t>
  </si>
  <si>
    <t>TRANS-0048</t>
  </si>
  <si>
    <t>TRANS-0049</t>
  </si>
  <si>
    <t>Total Spend</t>
  </si>
  <si>
    <t>Discount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</si>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</sst>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</font>
    <font>
      <sz val="11"/>
      <color theme="1"/>
      <name val="Calibri"/>
      <scheme val="minor"/>
    </font>
    <font>
      <sz val="11"/>
      <name val="Calibri"/>
    </font>
    <font>
      <b/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5" fillId="2" borderId="4" xfId="0" applyFont="1" applyFill="1" applyBorder="1"/>
    <xf numFmtId="0" fontId="2" fillId="0" borderId="0" xfId="0" applyFont="1"/>
    <xf numFmtId="0" fontId="0" fillId="0" borderId="0" xfId="0"/>
    <xf numFmtId="0" fontId="2" fillId="2" borderId="1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5" fillId="2" borderId="5" xfId="0" applyFont="1" applyFill="1" applyBorder="1"/>
    <xf numFmtId="0" fontId="1" fillId="0" borderId="0" xfId="0" applyFont="1"/>
  </cellXfs>
  <cellStyles count="1">
    <cellStyle name="Normal" xfId="0" builtinId="0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4391025" cy="952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160013" y="3322800"/>
          <a:ext cx="4371975" cy="9144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Task Instructions: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Calculate Bonus Amount (Annual Salary * Bonus %).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Use an IF function to check promotion eligibility (Years of Experience &gt;= 5).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Use a logical condition to determine bonus eligibility (Bonus &gt; 10,000).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211416</xdr:colOff>
      <xdr:row>3</xdr:row>
      <xdr:rowOff>56462</xdr:rowOff>
    </xdr:from>
    <xdr:ext cx="4914900" cy="1466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8373725" y="574936"/>
          <a:ext cx="4914900" cy="146685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Task Instructions: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Calculate Total Spend (Units Purchased * Price per Unit).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Apply a discount based on Customer Type (VIP gets 20%, others 10%).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Use a nested IF to check if Net Spend exceeds $5,000 for VIP Customers.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 Combine AND/OR to determine eligibility for discounts (spending &gt; $1,000 or is VIP).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5. BONUS: Highlight transactions with Net Spend &gt; $10,000.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opLeftCell="C3" zoomScale="116" workbookViewId="0">
      <selection activeCell="H5" sqref="H5:H23"/>
    </sheetView>
  </sheetViews>
  <sheetFormatPr defaultColWidth="14.44140625" defaultRowHeight="15" customHeight="1" x14ac:dyDescent="0.3"/>
  <cols>
    <col min="1" max="1" width="8.6640625" customWidth="1"/>
    <col min="2" max="2" width="10.6640625" customWidth="1"/>
    <col min="3" max="3" width="8.6640625" customWidth="1"/>
    <col min="4" max="4" width="14.5546875" customWidth="1"/>
    <col min="5" max="5" width="9" customWidth="1"/>
    <col min="6" max="6" width="16.5546875" customWidth="1"/>
    <col min="7" max="7" width="20.5546875" customWidth="1"/>
    <col min="8" max="8" width="16" customWidth="1"/>
    <col min="9" max="26" width="8.6640625" customWidth="1"/>
  </cols>
  <sheetData>
    <row r="1" spans="1:8" ht="14.25" customHeight="1" x14ac:dyDescent="0.45">
      <c r="A1" s="3" t="s">
        <v>0</v>
      </c>
      <c r="B1" s="4"/>
      <c r="C1" s="4"/>
      <c r="D1" s="4"/>
      <c r="E1" s="4"/>
      <c r="F1" s="4"/>
      <c r="G1" s="4"/>
      <c r="H1" s="4"/>
    </row>
    <row r="2" spans="1:8" ht="14.25" customHeight="1" x14ac:dyDescent="0.3"/>
    <row r="3" spans="1:8" ht="14.25" customHeight="1" x14ac:dyDescent="0.3"/>
    <row r="4" spans="1:8" ht="14.2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4.25" customHeight="1" x14ac:dyDescent="0.3">
      <c r="A5" s="1" t="s">
        <v>9</v>
      </c>
      <c r="B5" s="1" t="s">
        <v>10</v>
      </c>
      <c r="C5" s="1">
        <v>7</v>
      </c>
      <c r="D5" s="1">
        <v>91421</v>
      </c>
      <c r="E5" s="1">
        <v>19.79</v>
      </c>
      <c r="F5">
        <f>D5*(E5/100)</f>
        <v>18092.215899999999</v>
      </c>
      <c r="G5" t="str">
        <f>IF(C4&gt;=5,"Eligible","Not eligible")</f>
        <v>Eligible</v>
      </c>
      <c r="H5" t="str">
        <f>IF(F5&gt;10000,"bonus elgible", "not bonus elgible")</f>
        <v>bonus elgible</v>
      </c>
    </row>
    <row r="6" spans="1:8" ht="14.25" customHeight="1" x14ac:dyDescent="0.3">
      <c r="A6" s="1" t="s">
        <v>11</v>
      </c>
      <c r="B6" s="1" t="s">
        <v>12</v>
      </c>
      <c r="C6" s="1">
        <v>9</v>
      </c>
      <c r="D6" s="1">
        <v>110263</v>
      </c>
      <c r="E6" s="1">
        <v>12.84</v>
      </c>
      <c r="F6">
        <f t="shared" ref="F6:F23" si="0">D6*(E6/100)</f>
        <v>14157.769199999999</v>
      </c>
      <c r="G6" t="str">
        <f t="shared" ref="G6:G23" si="1">IF(C5&gt;=5,"Eligible","Not eligible")</f>
        <v>Eligible</v>
      </c>
      <c r="H6" t="str">
        <f t="shared" ref="H6:H23" si="2">IF(F6&gt;10000,"bonus elgible", "not bonus elgible")</f>
        <v>bonus elgible</v>
      </c>
    </row>
    <row r="7" spans="1:8" ht="14.25" customHeight="1" x14ac:dyDescent="0.3">
      <c r="A7" s="1" t="s">
        <v>13</v>
      </c>
      <c r="B7" s="1" t="s">
        <v>14</v>
      </c>
      <c r="C7" s="1">
        <v>6</v>
      </c>
      <c r="D7" s="1">
        <v>116369</v>
      </c>
      <c r="E7" s="1">
        <v>17.11</v>
      </c>
      <c r="F7">
        <f t="shared" si="0"/>
        <v>19910.7359</v>
      </c>
      <c r="G7" t="str">
        <f t="shared" si="1"/>
        <v>Eligible</v>
      </c>
      <c r="H7" t="str">
        <f t="shared" si="2"/>
        <v>bonus elgible</v>
      </c>
    </row>
    <row r="8" spans="1:8" ht="14.25" customHeight="1" x14ac:dyDescent="0.3">
      <c r="A8" s="1" t="s">
        <v>15</v>
      </c>
      <c r="B8" s="1" t="s">
        <v>16</v>
      </c>
      <c r="C8" s="1">
        <v>3</v>
      </c>
      <c r="D8" s="1">
        <v>59092</v>
      </c>
      <c r="E8" s="1">
        <v>11.58</v>
      </c>
      <c r="F8">
        <f t="shared" si="0"/>
        <v>6842.8536000000004</v>
      </c>
      <c r="G8" t="str">
        <f t="shared" si="1"/>
        <v>Eligible</v>
      </c>
      <c r="H8" t="str">
        <f t="shared" si="2"/>
        <v>not bonus elgible</v>
      </c>
    </row>
    <row r="9" spans="1:8" ht="14.25" customHeight="1" x14ac:dyDescent="0.3">
      <c r="A9" s="1" t="s">
        <v>17</v>
      </c>
      <c r="B9" s="1" t="s">
        <v>18</v>
      </c>
      <c r="C9" s="1">
        <v>8</v>
      </c>
      <c r="D9" s="1">
        <v>89114</v>
      </c>
      <c r="E9" s="1">
        <v>16.43</v>
      </c>
      <c r="F9">
        <f t="shared" si="0"/>
        <v>14641.430200000001</v>
      </c>
      <c r="G9" t="str">
        <f t="shared" si="1"/>
        <v>Not eligible</v>
      </c>
      <c r="H9" t="str">
        <f t="shared" si="2"/>
        <v>bonus elgible</v>
      </c>
    </row>
    <row r="10" spans="1:8" ht="14.25" customHeight="1" x14ac:dyDescent="0.3">
      <c r="A10" s="1" t="s">
        <v>19</v>
      </c>
      <c r="B10" s="1" t="s">
        <v>18</v>
      </c>
      <c r="C10" s="1">
        <v>5</v>
      </c>
      <c r="D10" s="1">
        <v>110642</v>
      </c>
      <c r="E10" s="1">
        <v>15.32</v>
      </c>
      <c r="F10">
        <f t="shared" si="0"/>
        <v>16950.3544</v>
      </c>
      <c r="G10" t="str">
        <f t="shared" si="1"/>
        <v>Eligible</v>
      </c>
      <c r="H10" t="str">
        <f t="shared" si="2"/>
        <v>bonus elgible</v>
      </c>
    </row>
    <row r="11" spans="1:8" ht="14.25" customHeight="1" x14ac:dyDescent="0.3">
      <c r="A11" s="1" t="s">
        <v>20</v>
      </c>
      <c r="B11" s="1" t="s">
        <v>10</v>
      </c>
      <c r="C11" s="1">
        <v>5</v>
      </c>
      <c r="D11" s="1">
        <v>64147</v>
      </c>
      <c r="E11" s="1">
        <v>10.25</v>
      </c>
      <c r="F11">
        <f t="shared" si="0"/>
        <v>6575.0674999999992</v>
      </c>
      <c r="G11" t="str">
        <f t="shared" si="1"/>
        <v>Eligible</v>
      </c>
      <c r="H11" t="str">
        <f t="shared" si="2"/>
        <v>not bonus elgible</v>
      </c>
    </row>
    <row r="12" spans="1:8" ht="14.25" customHeight="1" x14ac:dyDescent="0.3">
      <c r="A12" s="1" t="s">
        <v>21</v>
      </c>
      <c r="B12" s="1" t="s">
        <v>16</v>
      </c>
      <c r="C12" s="1">
        <v>9</v>
      </c>
      <c r="D12" s="1">
        <v>83541</v>
      </c>
      <c r="E12" s="1">
        <v>5.29</v>
      </c>
      <c r="F12">
        <f t="shared" si="0"/>
        <v>4419.3189000000002</v>
      </c>
      <c r="G12" t="str">
        <f t="shared" si="1"/>
        <v>Eligible</v>
      </c>
      <c r="H12" t="str">
        <f t="shared" si="2"/>
        <v>not bonus elgible</v>
      </c>
    </row>
    <row r="13" spans="1:8" ht="14.25" customHeight="1" x14ac:dyDescent="0.3">
      <c r="A13" s="1" t="s">
        <v>22</v>
      </c>
      <c r="B13" s="1" t="s">
        <v>10</v>
      </c>
      <c r="C13" s="1">
        <v>1</v>
      </c>
      <c r="D13" s="1">
        <v>76320</v>
      </c>
      <c r="E13" s="1">
        <v>5.2</v>
      </c>
      <c r="F13">
        <f t="shared" si="0"/>
        <v>3968.6400000000003</v>
      </c>
      <c r="G13" t="str">
        <f t="shared" si="1"/>
        <v>Eligible</v>
      </c>
      <c r="H13" t="str">
        <f t="shared" si="2"/>
        <v>not bonus elgible</v>
      </c>
    </row>
    <row r="14" spans="1:8" ht="14.25" customHeight="1" x14ac:dyDescent="0.3">
      <c r="A14" s="1" t="s">
        <v>23</v>
      </c>
      <c r="B14" s="1" t="s">
        <v>16</v>
      </c>
      <c r="C14" s="1">
        <v>1</v>
      </c>
      <c r="D14" s="1">
        <v>85702</v>
      </c>
      <c r="E14" s="1">
        <v>5.54</v>
      </c>
      <c r="F14">
        <f t="shared" si="0"/>
        <v>4747.8908000000001</v>
      </c>
      <c r="G14" t="str">
        <f t="shared" si="1"/>
        <v>Not eligible</v>
      </c>
      <c r="H14" t="str">
        <f t="shared" si="2"/>
        <v>not bonus elgible</v>
      </c>
    </row>
    <row r="15" spans="1:8" ht="14.25" customHeight="1" x14ac:dyDescent="0.3">
      <c r="A15" s="1" t="s">
        <v>24</v>
      </c>
      <c r="B15" s="1" t="s">
        <v>12</v>
      </c>
      <c r="C15" s="1">
        <v>8</v>
      </c>
      <c r="D15" s="1">
        <v>117871</v>
      </c>
      <c r="E15" s="1">
        <v>11.41</v>
      </c>
      <c r="F15">
        <f t="shared" si="0"/>
        <v>13449.081100000001</v>
      </c>
      <c r="G15" t="str">
        <f t="shared" si="1"/>
        <v>Not eligible</v>
      </c>
      <c r="H15" t="str">
        <f t="shared" si="2"/>
        <v>bonus elgible</v>
      </c>
    </row>
    <row r="16" spans="1:8" ht="14.25" customHeight="1" x14ac:dyDescent="0.3">
      <c r="A16" s="1" t="s">
        <v>25</v>
      </c>
      <c r="B16" s="1" t="s">
        <v>14</v>
      </c>
      <c r="C16" s="1">
        <v>4</v>
      </c>
      <c r="D16" s="1">
        <v>80059</v>
      </c>
      <c r="E16" s="1">
        <v>18.39</v>
      </c>
      <c r="F16">
        <f t="shared" si="0"/>
        <v>14722.850100000001</v>
      </c>
      <c r="G16" t="str">
        <f t="shared" si="1"/>
        <v>Eligible</v>
      </c>
      <c r="H16" t="str">
        <f t="shared" si="2"/>
        <v>bonus elgible</v>
      </c>
    </row>
    <row r="17" spans="1:8" ht="14.25" customHeight="1" x14ac:dyDescent="0.3">
      <c r="A17" s="1" t="s">
        <v>26</v>
      </c>
      <c r="B17" s="1" t="s">
        <v>18</v>
      </c>
      <c r="C17" s="1">
        <v>5</v>
      </c>
      <c r="D17" s="1">
        <v>93426</v>
      </c>
      <c r="E17" s="1">
        <v>9.92</v>
      </c>
      <c r="F17">
        <f t="shared" si="0"/>
        <v>9267.859199999999</v>
      </c>
      <c r="G17" t="str">
        <f t="shared" si="1"/>
        <v>Not eligible</v>
      </c>
      <c r="H17" t="str">
        <f t="shared" si="2"/>
        <v>not bonus elgible</v>
      </c>
    </row>
    <row r="18" spans="1:8" ht="14.25" customHeight="1" x14ac:dyDescent="0.3">
      <c r="A18" s="1" t="s">
        <v>27</v>
      </c>
      <c r="B18" s="1" t="s">
        <v>14</v>
      </c>
      <c r="C18" s="1">
        <v>7</v>
      </c>
      <c r="D18" s="1">
        <v>59233</v>
      </c>
      <c r="E18" s="1">
        <v>6.41</v>
      </c>
      <c r="F18">
        <f t="shared" si="0"/>
        <v>3796.8353000000002</v>
      </c>
      <c r="G18" t="str">
        <f t="shared" si="1"/>
        <v>Eligible</v>
      </c>
      <c r="H18" t="str">
        <f t="shared" si="2"/>
        <v>not bonus elgible</v>
      </c>
    </row>
    <row r="19" spans="1:8" ht="14.25" customHeight="1" x14ac:dyDescent="0.3">
      <c r="A19" s="1" t="s">
        <v>28</v>
      </c>
      <c r="B19" s="1" t="s">
        <v>18</v>
      </c>
      <c r="C19" s="1">
        <v>5</v>
      </c>
      <c r="D19" s="1">
        <v>116769</v>
      </c>
      <c r="E19" s="1">
        <v>8.7100000000000009</v>
      </c>
      <c r="F19">
        <f t="shared" si="0"/>
        <v>10170.579900000001</v>
      </c>
      <c r="G19" t="str">
        <f t="shared" si="1"/>
        <v>Eligible</v>
      </c>
      <c r="H19" t="str">
        <f t="shared" si="2"/>
        <v>bonus elgible</v>
      </c>
    </row>
    <row r="20" spans="1:8" ht="14.25" customHeight="1" x14ac:dyDescent="0.3">
      <c r="A20" s="1" t="s">
        <v>29</v>
      </c>
      <c r="B20" s="1" t="s">
        <v>16</v>
      </c>
      <c r="C20" s="1">
        <v>5</v>
      </c>
      <c r="D20" s="1">
        <v>93076</v>
      </c>
      <c r="E20" s="1">
        <v>13.6</v>
      </c>
      <c r="F20">
        <f t="shared" si="0"/>
        <v>12658.336000000001</v>
      </c>
      <c r="G20" t="str">
        <f t="shared" si="1"/>
        <v>Eligible</v>
      </c>
      <c r="H20" t="str">
        <f t="shared" si="2"/>
        <v>bonus elgible</v>
      </c>
    </row>
    <row r="21" spans="1:8" ht="14.25" customHeight="1" x14ac:dyDescent="0.3">
      <c r="A21" s="1" t="s">
        <v>30</v>
      </c>
      <c r="B21" s="1" t="s">
        <v>16</v>
      </c>
      <c r="C21" s="1">
        <v>6</v>
      </c>
      <c r="D21" s="1">
        <v>71506</v>
      </c>
      <c r="E21" s="1">
        <v>5.58</v>
      </c>
      <c r="F21">
        <f t="shared" si="0"/>
        <v>3990.0348000000004</v>
      </c>
      <c r="G21" t="str">
        <f t="shared" si="1"/>
        <v>Eligible</v>
      </c>
      <c r="H21" t="str">
        <f t="shared" si="2"/>
        <v>not bonus elgible</v>
      </c>
    </row>
    <row r="22" spans="1:8" ht="14.25" customHeight="1" x14ac:dyDescent="0.3">
      <c r="A22" s="1" t="s">
        <v>31</v>
      </c>
      <c r="B22" s="1" t="s">
        <v>16</v>
      </c>
      <c r="C22" s="1">
        <v>10</v>
      </c>
      <c r="D22" s="1">
        <v>102790</v>
      </c>
      <c r="E22" s="1">
        <v>19.100000000000001</v>
      </c>
      <c r="F22">
        <f t="shared" si="0"/>
        <v>19632.89</v>
      </c>
      <c r="G22" t="str">
        <f t="shared" si="1"/>
        <v>Eligible</v>
      </c>
      <c r="H22" t="str">
        <f t="shared" si="2"/>
        <v>bonus elgible</v>
      </c>
    </row>
    <row r="23" spans="1:8" ht="14.25" customHeight="1" x14ac:dyDescent="0.3">
      <c r="A23" s="1" t="s">
        <v>32</v>
      </c>
      <c r="B23" s="1" t="s">
        <v>10</v>
      </c>
      <c r="C23" s="1">
        <v>8</v>
      </c>
      <c r="D23" s="1">
        <v>106178</v>
      </c>
      <c r="E23" s="1">
        <v>13.31</v>
      </c>
      <c r="F23">
        <f t="shared" si="0"/>
        <v>14132.291799999999</v>
      </c>
      <c r="G23" t="str">
        <f t="shared" si="1"/>
        <v>Eligible</v>
      </c>
      <c r="H23" t="str">
        <f t="shared" si="2"/>
        <v>bonus elgible</v>
      </c>
    </row>
    <row r="24" spans="1:8" ht="14.25" customHeight="1" x14ac:dyDescent="0.3"/>
    <row r="25" spans="1:8" ht="14.25" customHeight="1" x14ac:dyDescent="0.3"/>
    <row r="26" spans="1:8" ht="14.25" customHeight="1" x14ac:dyDescent="0.3"/>
    <row r="27" spans="1:8" ht="14.25" customHeight="1" x14ac:dyDescent="0.3"/>
    <row r="28" spans="1:8" ht="14.25" customHeight="1" x14ac:dyDescent="0.3"/>
    <row r="29" spans="1:8" ht="14.25" customHeight="1" x14ac:dyDescent="0.3"/>
    <row r="30" spans="1:8" ht="14.25" customHeight="1" x14ac:dyDescent="0.3"/>
    <row r="31" spans="1:8" ht="14.25" customHeight="1" x14ac:dyDescent="0.3"/>
    <row r="32" spans="1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H1"/>
  </mergeCells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zoomScale="97" workbookViewId="0">
      <selection activeCell="A6" sqref="A6:M54"/>
    </sheetView>
  </sheetViews>
  <sheetFormatPr defaultColWidth="14.44140625" defaultRowHeight="15" customHeight="1" x14ac:dyDescent="0.3"/>
  <cols>
    <col min="1" max="1" width="17" customWidth="1"/>
    <col min="2" max="2" width="18" customWidth="1"/>
    <col min="3" max="3" width="20.5546875" customWidth="1"/>
    <col min="4" max="4" width="19.109375" customWidth="1"/>
    <col min="5" max="5" width="27.33203125" customWidth="1"/>
    <col min="6" max="6" width="30.33203125" customWidth="1"/>
    <col min="7" max="7" width="28.109375" customWidth="1"/>
    <col min="8" max="8" width="16.44140625" customWidth="1"/>
    <col min="9" max="9" width="19.88671875" customWidth="1"/>
    <col min="10" max="10" width="24.5546875" bestFit="1" customWidth="1"/>
    <col min="11" max="11" width="14" bestFit="1" customWidth="1"/>
    <col min="12" max="12" width="10.6640625" bestFit="1" customWidth="1"/>
    <col min="13" max="13" width="24.5546875" bestFit="1" customWidth="1"/>
    <col min="14" max="26" width="8.6640625" customWidth="1"/>
  </cols>
  <sheetData>
    <row r="1" spans="1:13" ht="14.25" customHeight="1" x14ac:dyDescent="0.45">
      <c r="A1" s="5" t="s">
        <v>33</v>
      </c>
      <c r="B1" s="6"/>
      <c r="C1" s="6"/>
      <c r="D1" s="6"/>
      <c r="E1" s="6"/>
      <c r="F1" s="6"/>
      <c r="G1" s="6"/>
      <c r="H1" s="6"/>
      <c r="I1" s="6"/>
      <c r="J1" s="7"/>
    </row>
    <row r="2" spans="1:13" ht="14.25" customHeight="1" x14ac:dyDescent="0.3"/>
    <row r="3" spans="1:13" ht="14.25" customHeight="1" x14ac:dyDescent="0.3"/>
    <row r="4" spans="1:13" ht="14.25" customHeight="1" x14ac:dyDescent="0.3"/>
    <row r="5" spans="1:13" ht="14.25" customHeight="1" x14ac:dyDescent="0.3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101</v>
      </c>
      <c r="L5" s="8" t="s">
        <v>102</v>
      </c>
      <c r="M5" s="2" t="s">
        <v>43</v>
      </c>
    </row>
    <row r="6" spans="1:13" ht="14.25" customHeight="1" x14ac:dyDescent="0.3">
      <c r="A6" s="1" t="s">
        <v>44</v>
      </c>
      <c r="B6" s="1" t="s">
        <v>45</v>
      </c>
      <c r="C6" s="1" t="s">
        <v>46</v>
      </c>
      <c r="D6" s="1">
        <v>7</v>
      </c>
      <c r="E6" s="1">
        <v>247.15</v>
      </c>
      <c r="F6">
        <f>D6*E6</f>
        <v>1730.05</v>
      </c>
      <c r="G6">
        <f>IF(B6="VIP", 20%, 10%) * F6</f>
        <v>173.005</v>
      </c>
      <c r="H6" s="1">
        <v>1557.04</v>
      </c>
      <c r="I6" t="str">
        <f>IF(B6="VIP", "Yes", "No")</f>
        <v>No</v>
      </c>
      <c r="J6" t="str">
        <f>IF(AND(H6&gt;5000, B6="VIP"), "Yes", "No")</f>
        <v>No</v>
      </c>
      <c r="K6">
        <f>D6*E6</f>
        <v>1730.05</v>
      </c>
      <c r="L6">
        <f>IF(B6="VIP",(20*F6)/100,(10*F6)/100)</f>
        <v>173.005</v>
      </c>
      <c r="M6" t="str">
        <f>IF(OR(H6&gt;1000,I6="Yes"),"Eligible","Not eligible")</f>
        <v>Eligible</v>
      </c>
    </row>
    <row r="7" spans="1:13" ht="14.25" customHeight="1" x14ac:dyDescent="0.3">
      <c r="A7" s="1" t="s">
        <v>47</v>
      </c>
      <c r="B7" s="1" t="s">
        <v>48</v>
      </c>
      <c r="C7" s="1" t="s">
        <v>49</v>
      </c>
      <c r="D7" s="1">
        <v>49</v>
      </c>
      <c r="E7" s="1">
        <v>319.36</v>
      </c>
      <c r="F7">
        <f t="shared" ref="F7:F54" si="0">D7*E7</f>
        <v>15648.640000000001</v>
      </c>
      <c r="G7">
        <f>IF(B7="VIP", 20%, 10%) * F7</f>
        <v>3129.7280000000005</v>
      </c>
      <c r="H7" s="1">
        <v>12519.07</v>
      </c>
      <c r="I7" t="str">
        <f t="shared" ref="I7:I54" si="1">IF(B7="VIP", "Yes", "No")</f>
        <v>Yes</v>
      </c>
      <c r="J7" t="str">
        <f t="shared" ref="J7:J54" si="2">IF(AND(H7&gt;5000, B7="VIP"), "Yes", "No")</f>
        <v>Yes</v>
      </c>
      <c r="K7">
        <f t="shared" ref="K7:K54" si="3">D7*E7</f>
        <v>15648.640000000001</v>
      </c>
      <c r="L7">
        <f t="shared" ref="L7:L54" si="4">IF(B7="VIP",(20*F7)/100,(10*F7)/100)</f>
        <v>3129.7280000000005</v>
      </c>
      <c r="M7" t="str">
        <f t="shared" ref="M7:M54" si="5">IF(OR(H7&gt;1000,I7="Yes"),"Eligible","Not eligible")</f>
        <v>Eligible</v>
      </c>
    </row>
    <row r="8" spans="1:13" ht="14.25" customHeight="1" x14ac:dyDescent="0.3">
      <c r="A8" s="9" t="s">
        <v>50</v>
      </c>
      <c r="B8" s="1" t="s">
        <v>45</v>
      </c>
      <c r="C8" s="1" t="s">
        <v>49</v>
      </c>
      <c r="D8" s="1">
        <v>26</v>
      </c>
      <c r="E8" s="1">
        <v>389.71</v>
      </c>
      <c r="F8">
        <f t="shared" si="0"/>
        <v>10132.459999999999</v>
      </c>
      <c r="G8">
        <f t="shared" ref="G8:G54" si="6">IF(B8="VIP", 20%, 10%) * F8</f>
        <v>1013.246</v>
      </c>
      <c r="H8" s="1">
        <v>9119.2900000000009</v>
      </c>
      <c r="I8" t="str">
        <f t="shared" si="1"/>
        <v>No</v>
      </c>
      <c r="J8" t="str">
        <f t="shared" si="2"/>
        <v>No</v>
      </c>
      <c r="K8">
        <f t="shared" si="3"/>
        <v>10132.459999999999</v>
      </c>
      <c r="L8">
        <f t="shared" si="4"/>
        <v>1013.2459999999999</v>
      </c>
      <c r="M8" t="str">
        <f t="shared" si="5"/>
        <v>Eligible</v>
      </c>
    </row>
    <row r="9" spans="1:13" ht="14.25" customHeight="1" x14ac:dyDescent="0.3">
      <c r="A9" s="1" t="s">
        <v>51</v>
      </c>
      <c r="B9" s="1" t="s">
        <v>48</v>
      </c>
      <c r="C9" s="1" t="s">
        <v>52</v>
      </c>
      <c r="D9" s="1">
        <v>23</v>
      </c>
      <c r="E9" s="1">
        <v>32.32</v>
      </c>
      <c r="F9">
        <f t="shared" si="0"/>
        <v>743.36</v>
      </c>
      <c r="G9">
        <f t="shared" si="6"/>
        <v>148.672</v>
      </c>
      <c r="H9" s="1">
        <v>594.69000000000005</v>
      </c>
      <c r="I9" t="str">
        <f t="shared" si="1"/>
        <v>Yes</v>
      </c>
      <c r="J9" t="str">
        <f t="shared" si="2"/>
        <v>No</v>
      </c>
      <c r="K9">
        <f t="shared" si="3"/>
        <v>743.36</v>
      </c>
      <c r="L9">
        <f t="shared" si="4"/>
        <v>148.672</v>
      </c>
      <c r="M9" t="str">
        <f t="shared" si="5"/>
        <v>Eligible</v>
      </c>
    </row>
    <row r="10" spans="1:13" ht="14.25" customHeight="1" x14ac:dyDescent="0.3">
      <c r="A10" s="1" t="s">
        <v>53</v>
      </c>
      <c r="B10" s="1" t="s">
        <v>54</v>
      </c>
      <c r="C10" s="1" t="s">
        <v>46</v>
      </c>
      <c r="D10" s="1">
        <v>8</v>
      </c>
      <c r="E10" s="1">
        <v>79.489999999999995</v>
      </c>
      <c r="F10">
        <f t="shared" si="0"/>
        <v>635.91999999999996</v>
      </c>
      <c r="G10">
        <f t="shared" si="6"/>
        <v>63.591999999999999</v>
      </c>
      <c r="H10" s="1">
        <v>572.30999999999995</v>
      </c>
      <c r="I10" t="str">
        <f t="shared" si="1"/>
        <v>No</v>
      </c>
      <c r="J10" t="str">
        <f t="shared" si="2"/>
        <v>No</v>
      </c>
      <c r="K10">
        <f t="shared" si="3"/>
        <v>635.91999999999996</v>
      </c>
      <c r="L10">
        <f t="shared" si="4"/>
        <v>63.591999999999999</v>
      </c>
      <c r="M10" t="str">
        <f t="shared" si="5"/>
        <v>Not eligible</v>
      </c>
    </row>
    <row r="11" spans="1:13" ht="14.25" customHeight="1" x14ac:dyDescent="0.3">
      <c r="A11" s="1" t="s">
        <v>55</v>
      </c>
      <c r="B11" s="9" t="s">
        <v>103</v>
      </c>
      <c r="C11" s="1" t="s">
        <v>52</v>
      </c>
      <c r="D11" s="1">
        <v>16</v>
      </c>
      <c r="E11" s="1">
        <v>379.46</v>
      </c>
      <c r="F11">
        <f t="shared" si="0"/>
        <v>6071.36</v>
      </c>
      <c r="G11">
        <f t="shared" si="6"/>
        <v>607.13599999999997</v>
      </c>
      <c r="H11" s="1">
        <v>4857.0600000000004</v>
      </c>
      <c r="I11" t="str">
        <f t="shared" si="1"/>
        <v>No</v>
      </c>
      <c r="J11" t="str">
        <f t="shared" si="2"/>
        <v>No</v>
      </c>
      <c r="K11">
        <f t="shared" si="3"/>
        <v>6071.36</v>
      </c>
      <c r="L11">
        <f t="shared" si="4"/>
        <v>607.13599999999997</v>
      </c>
      <c r="M11" t="str">
        <f t="shared" si="5"/>
        <v>Eligible</v>
      </c>
    </row>
    <row r="12" spans="1:13" ht="14.25" customHeight="1" x14ac:dyDescent="0.3">
      <c r="A12" s="1" t="s">
        <v>56</v>
      </c>
      <c r="B12" s="1" t="s">
        <v>48</v>
      </c>
      <c r="C12" s="1" t="s">
        <v>57</v>
      </c>
      <c r="D12" s="1">
        <v>15</v>
      </c>
      <c r="E12" s="1">
        <v>480.97</v>
      </c>
      <c r="F12">
        <f t="shared" si="0"/>
        <v>7214.55</v>
      </c>
      <c r="G12">
        <f t="shared" si="6"/>
        <v>1442.91</v>
      </c>
      <c r="H12" s="1">
        <v>5771.64</v>
      </c>
      <c r="I12" t="str">
        <f t="shared" si="1"/>
        <v>Yes</v>
      </c>
      <c r="J12" t="str">
        <f t="shared" si="2"/>
        <v>Yes</v>
      </c>
      <c r="K12">
        <f t="shared" si="3"/>
        <v>7214.55</v>
      </c>
      <c r="L12">
        <f t="shared" si="4"/>
        <v>1442.91</v>
      </c>
      <c r="M12" t="str">
        <f t="shared" si="5"/>
        <v>Eligible</v>
      </c>
    </row>
    <row r="13" spans="1:13" ht="14.25" customHeight="1" x14ac:dyDescent="0.3">
      <c r="A13" s="1" t="s">
        <v>58</v>
      </c>
      <c r="B13" s="1" t="s">
        <v>45</v>
      </c>
      <c r="C13" s="1" t="s">
        <v>52</v>
      </c>
      <c r="D13" s="1">
        <v>16</v>
      </c>
      <c r="E13" s="1">
        <v>55.53</v>
      </c>
      <c r="F13">
        <f t="shared" si="0"/>
        <v>888.48</v>
      </c>
      <c r="G13">
        <f t="shared" si="6"/>
        <v>88.848000000000013</v>
      </c>
      <c r="H13" s="1">
        <v>799.58</v>
      </c>
      <c r="I13" t="str">
        <f t="shared" si="1"/>
        <v>No</v>
      </c>
      <c r="J13" t="str">
        <f t="shared" si="2"/>
        <v>No</v>
      </c>
      <c r="K13">
        <f t="shared" si="3"/>
        <v>888.48</v>
      </c>
      <c r="L13">
        <f t="shared" si="4"/>
        <v>88.847999999999999</v>
      </c>
      <c r="M13" t="str">
        <f t="shared" si="5"/>
        <v>Not eligible</v>
      </c>
    </row>
    <row r="14" spans="1:13" ht="14.25" customHeight="1" x14ac:dyDescent="0.3">
      <c r="A14" s="1" t="s">
        <v>59</v>
      </c>
      <c r="B14" s="1" t="s">
        <v>45</v>
      </c>
      <c r="C14" s="1" t="s">
        <v>49</v>
      </c>
      <c r="D14" s="1">
        <v>48</v>
      </c>
      <c r="E14" s="1">
        <v>52.36</v>
      </c>
      <c r="F14">
        <f t="shared" si="0"/>
        <v>2513.2799999999997</v>
      </c>
      <c r="G14">
        <f t="shared" si="6"/>
        <v>251.32799999999997</v>
      </c>
      <c r="H14" s="1">
        <v>2261.75</v>
      </c>
      <c r="I14" t="str">
        <f t="shared" si="1"/>
        <v>No</v>
      </c>
      <c r="J14" t="str">
        <f t="shared" si="2"/>
        <v>No</v>
      </c>
      <c r="K14">
        <f t="shared" si="3"/>
        <v>2513.2799999999997</v>
      </c>
      <c r="L14">
        <f t="shared" si="4"/>
        <v>251.32799999999995</v>
      </c>
      <c r="M14" t="str">
        <f t="shared" si="5"/>
        <v>Eligible</v>
      </c>
    </row>
    <row r="15" spans="1:13" ht="14.25" customHeight="1" x14ac:dyDescent="0.3">
      <c r="A15" s="1" t="s">
        <v>60</v>
      </c>
      <c r="B15" s="1" t="s">
        <v>54</v>
      </c>
      <c r="C15" s="1" t="s">
        <v>49</v>
      </c>
      <c r="D15" s="1">
        <v>1</v>
      </c>
      <c r="E15" s="1">
        <v>33.19</v>
      </c>
      <c r="F15">
        <f t="shared" si="0"/>
        <v>33.19</v>
      </c>
      <c r="G15">
        <f t="shared" si="6"/>
        <v>3.319</v>
      </c>
      <c r="H15" s="1">
        <v>29.87</v>
      </c>
      <c r="I15" t="str">
        <f t="shared" si="1"/>
        <v>No</v>
      </c>
      <c r="J15" t="str">
        <f t="shared" si="2"/>
        <v>No</v>
      </c>
      <c r="K15">
        <f t="shared" si="3"/>
        <v>33.19</v>
      </c>
      <c r="L15">
        <f t="shared" si="4"/>
        <v>3.319</v>
      </c>
      <c r="M15" t="str">
        <f t="shared" si="5"/>
        <v>Not eligible</v>
      </c>
    </row>
    <row r="16" spans="1:13" ht="14.25" customHeight="1" x14ac:dyDescent="0.3">
      <c r="A16" s="1" t="s">
        <v>61</v>
      </c>
      <c r="B16" s="1" t="s">
        <v>45</v>
      </c>
      <c r="C16" s="1" t="s">
        <v>57</v>
      </c>
      <c r="D16" s="1">
        <v>36</v>
      </c>
      <c r="E16" s="1">
        <v>107.13</v>
      </c>
      <c r="F16">
        <f t="shared" si="0"/>
        <v>3856.68</v>
      </c>
      <c r="G16">
        <f t="shared" si="6"/>
        <v>385.66800000000001</v>
      </c>
      <c r="H16" s="1">
        <v>3471.03</v>
      </c>
      <c r="I16" t="str">
        <f t="shared" si="1"/>
        <v>No</v>
      </c>
      <c r="J16" t="str">
        <f t="shared" si="2"/>
        <v>No</v>
      </c>
      <c r="K16">
        <f t="shared" si="3"/>
        <v>3856.68</v>
      </c>
      <c r="L16">
        <f t="shared" si="4"/>
        <v>385.66799999999995</v>
      </c>
      <c r="M16" t="str">
        <f t="shared" si="5"/>
        <v>Eligible</v>
      </c>
    </row>
    <row r="17" spans="1:13" ht="14.25" customHeight="1" x14ac:dyDescent="0.3">
      <c r="A17" s="1" t="s">
        <v>62</v>
      </c>
      <c r="B17" s="1" t="s">
        <v>45</v>
      </c>
      <c r="C17" s="1" t="s">
        <v>57</v>
      </c>
      <c r="D17" s="1">
        <v>43</v>
      </c>
      <c r="E17" s="1">
        <v>280.99</v>
      </c>
      <c r="F17">
        <f t="shared" si="0"/>
        <v>12082.57</v>
      </c>
      <c r="G17">
        <f t="shared" si="6"/>
        <v>1208.2570000000001</v>
      </c>
      <c r="H17" s="1">
        <v>10874.47</v>
      </c>
      <c r="I17" t="str">
        <f t="shared" si="1"/>
        <v>No</v>
      </c>
      <c r="J17" t="str">
        <f t="shared" si="2"/>
        <v>No</v>
      </c>
      <c r="K17">
        <f t="shared" si="3"/>
        <v>12082.57</v>
      </c>
      <c r="L17">
        <f t="shared" si="4"/>
        <v>1208.2570000000001</v>
      </c>
      <c r="M17" t="str">
        <f t="shared" si="5"/>
        <v>Eligible</v>
      </c>
    </row>
    <row r="18" spans="1:13" ht="14.25" customHeight="1" x14ac:dyDescent="0.3">
      <c r="A18" s="1" t="s">
        <v>63</v>
      </c>
      <c r="B18" s="1" t="s">
        <v>54</v>
      </c>
      <c r="C18" s="1" t="s">
        <v>52</v>
      </c>
      <c r="D18" s="1">
        <v>46</v>
      </c>
      <c r="E18" s="1">
        <v>311.16000000000003</v>
      </c>
      <c r="F18">
        <f t="shared" si="0"/>
        <v>14313.36</v>
      </c>
      <c r="G18">
        <f t="shared" si="6"/>
        <v>1431.3360000000002</v>
      </c>
      <c r="H18" s="1">
        <v>12882.2</v>
      </c>
      <c r="I18" t="str">
        <f t="shared" si="1"/>
        <v>No</v>
      </c>
      <c r="J18" t="str">
        <f t="shared" si="2"/>
        <v>No</v>
      </c>
      <c r="K18">
        <f t="shared" si="3"/>
        <v>14313.36</v>
      </c>
      <c r="L18">
        <f t="shared" si="4"/>
        <v>1431.336</v>
      </c>
      <c r="M18" t="str">
        <f t="shared" si="5"/>
        <v>Eligible</v>
      </c>
    </row>
    <row r="19" spans="1:13" ht="14.25" customHeight="1" x14ac:dyDescent="0.3">
      <c r="A19" s="1" t="s">
        <v>64</v>
      </c>
      <c r="B19" s="1" t="s">
        <v>54</v>
      </c>
      <c r="C19" s="1" t="s">
        <v>52</v>
      </c>
      <c r="D19" s="1">
        <v>12</v>
      </c>
      <c r="E19" s="1">
        <v>183.89</v>
      </c>
      <c r="F19">
        <f t="shared" si="0"/>
        <v>2206.6799999999998</v>
      </c>
      <c r="G19">
        <f t="shared" si="6"/>
        <v>220.66800000000001</v>
      </c>
      <c r="H19" s="1">
        <v>1985.97</v>
      </c>
      <c r="I19" t="str">
        <f t="shared" si="1"/>
        <v>No</v>
      </c>
      <c r="J19" t="str">
        <f t="shared" si="2"/>
        <v>No</v>
      </c>
      <c r="K19">
        <f t="shared" si="3"/>
        <v>2206.6799999999998</v>
      </c>
      <c r="L19">
        <f t="shared" si="4"/>
        <v>220.66800000000001</v>
      </c>
      <c r="M19" t="str">
        <f t="shared" si="5"/>
        <v>Eligible</v>
      </c>
    </row>
    <row r="20" spans="1:13" ht="14.25" customHeight="1" x14ac:dyDescent="0.3">
      <c r="A20" s="1" t="s">
        <v>65</v>
      </c>
      <c r="B20" s="1" t="s">
        <v>54</v>
      </c>
      <c r="C20" s="1" t="s">
        <v>57</v>
      </c>
      <c r="D20" s="1">
        <v>9</v>
      </c>
      <c r="E20" s="1">
        <v>61.06</v>
      </c>
      <c r="F20">
        <f t="shared" si="0"/>
        <v>549.54</v>
      </c>
      <c r="G20">
        <f t="shared" si="6"/>
        <v>54.954000000000001</v>
      </c>
      <c r="H20" s="1">
        <v>494.61</v>
      </c>
      <c r="I20" t="str">
        <f t="shared" si="1"/>
        <v>No</v>
      </c>
      <c r="J20" t="str">
        <f t="shared" si="2"/>
        <v>No</v>
      </c>
      <c r="K20">
        <f t="shared" si="3"/>
        <v>549.54</v>
      </c>
      <c r="L20">
        <f t="shared" si="4"/>
        <v>54.953999999999994</v>
      </c>
      <c r="M20" t="str">
        <f t="shared" si="5"/>
        <v>Not eligible</v>
      </c>
    </row>
    <row r="21" spans="1:13" ht="14.25" customHeight="1" x14ac:dyDescent="0.3">
      <c r="A21" s="1" t="s">
        <v>66</v>
      </c>
      <c r="B21" s="1" t="s">
        <v>48</v>
      </c>
      <c r="C21" s="1" t="s">
        <v>49</v>
      </c>
      <c r="D21" s="1">
        <v>4</v>
      </c>
      <c r="E21" s="1">
        <v>485.39</v>
      </c>
      <c r="F21">
        <f t="shared" si="0"/>
        <v>1941.56</v>
      </c>
      <c r="G21">
        <f t="shared" si="6"/>
        <v>388.31200000000001</v>
      </c>
      <c r="H21" s="1">
        <v>1553.26</v>
      </c>
      <c r="I21" t="str">
        <f t="shared" si="1"/>
        <v>Yes</v>
      </c>
      <c r="J21" t="str">
        <f t="shared" si="2"/>
        <v>No</v>
      </c>
      <c r="K21">
        <f t="shared" si="3"/>
        <v>1941.56</v>
      </c>
      <c r="L21">
        <f t="shared" si="4"/>
        <v>388.31199999999995</v>
      </c>
      <c r="M21" t="str">
        <f t="shared" si="5"/>
        <v>Eligible</v>
      </c>
    </row>
    <row r="22" spans="1:13" ht="14.25" customHeight="1" x14ac:dyDescent="0.3">
      <c r="A22" s="1" t="s">
        <v>67</v>
      </c>
      <c r="B22" s="1" t="s">
        <v>48</v>
      </c>
      <c r="C22" s="1" t="s">
        <v>57</v>
      </c>
      <c r="D22" s="1">
        <v>34</v>
      </c>
      <c r="E22" s="1">
        <v>117.63</v>
      </c>
      <c r="F22">
        <f t="shared" si="0"/>
        <v>3999.42</v>
      </c>
      <c r="G22">
        <f t="shared" si="6"/>
        <v>799.88400000000001</v>
      </c>
      <c r="H22" s="1">
        <v>3199.42</v>
      </c>
      <c r="I22" t="str">
        <f t="shared" si="1"/>
        <v>Yes</v>
      </c>
      <c r="J22" t="str">
        <f t="shared" si="2"/>
        <v>No</v>
      </c>
      <c r="K22">
        <f t="shared" si="3"/>
        <v>3999.42</v>
      </c>
      <c r="L22">
        <f t="shared" si="4"/>
        <v>799.8839999999999</v>
      </c>
      <c r="M22" t="str">
        <f t="shared" si="5"/>
        <v>Eligible</v>
      </c>
    </row>
    <row r="23" spans="1:13" ht="14.25" customHeight="1" x14ac:dyDescent="0.3">
      <c r="A23" s="1" t="s">
        <v>68</v>
      </c>
      <c r="B23" s="1" t="s">
        <v>54</v>
      </c>
      <c r="C23" s="1" t="s">
        <v>69</v>
      </c>
      <c r="D23" s="1">
        <v>37</v>
      </c>
      <c r="E23" s="1">
        <v>406.85</v>
      </c>
      <c r="F23">
        <f t="shared" si="0"/>
        <v>15053.45</v>
      </c>
      <c r="G23">
        <f t="shared" si="6"/>
        <v>1505.3450000000003</v>
      </c>
      <c r="H23" s="1">
        <v>13548.05</v>
      </c>
      <c r="I23" t="str">
        <f t="shared" si="1"/>
        <v>No</v>
      </c>
      <c r="J23" t="str">
        <f t="shared" si="2"/>
        <v>No</v>
      </c>
      <c r="K23">
        <f t="shared" si="3"/>
        <v>15053.45</v>
      </c>
      <c r="L23">
        <f t="shared" si="4"/>
        <v>1505.345</v>
      </c>
      <c r="M23" t="str">
        <f t="shared" si="5"/>
        <v>Eligible</v>
      </c>
    </row>
    <row r="24" spans="1:13" ht="14.25" customHeight="1" x14ac:dyDescent="0.3">
      <c r="A24" s="1" t="s">
        <v>70</v>
      </c>
      <c r="B24" s="1" t="s">
        <v>48</v>
      </c>
      <c r="C24" s="1" t="s">
        <v>69</v>
      </c>
      <c r="D24" s="1">
        <v>11</v>
      </c>
      <c r="E24" s="1">
        <v>359.66</v>
      </c>
      <c r="F24">
        <f t="shared" si="0"/>
        <v>3956.26</v>
      </c>
      <c r="G24">
        <f t="shared" si="6"/>
        <v>791.25200000000007</v>
      </c>
      <c r="H24" s="1">
        <v>3164.97</v>
      </c>
      <c r="I24" t="str">
        <f t="shared" si="1"/>
        <v>Yes</v>
      </c>
      <c r="J24" t="str">
        <f t="shared" si="2"/>
        <v>No</v>
      </c>
      <c r="K24">
        <f t="shared" si="3"/>
        <v>3956.26</v>
      </c>
      <c r="L24">
        <f t="shared" si="4"/>
        <v>791.25200000000007</v>
      </c>
      <c r="M24" t="str">
        <f t="shared" si="5"/>
        <v>Eligible</v>
      </c>
    </row>
    <row r="25" spans="1:13" ht="14.25" customHeight="1" x14ac:dyDescent="0.3">
      <c r="A25" s="1" t="s">
        <v>71</v>
      </c>
      <c r="B25" s="1" t="s">
        <v>54</v>
      </c>
      <c r="C25" s="1" t="s">
        <v>46</v>
      </c>
      <c r="D25" s="1">
        <v>27</v>
      </c>
      <c r="E25" s="1">
        <v>42.6</v>
      </c>
      <c r="F25">
        <f t="shared" si="0"/>
        <v>1150.2</v>
      </c>
      <c r="G25">
        <f t="shared" si="6"/>
        <v>115.02000000000001</v>
      </c>
      <c r="H25" s="1">
        <v>1035.26</v>
      </c>
      <c r="I25" t="str">
        <f t="shared" si="1"/>
        <v>No</v>
      </c>
      <c r="J25" t="str">
        <f t="shared" si="2"/>
        <v>No</v>
      </c>
      <c r="K25">
        <f t="shared" si="3"/>
        <v>1150.2</v>
      </c>
      <c r="L25">
        <f t="shared" si="4"/>
        <v>115.02</v>
      </c>
      <c r="M25" t="str">
        <f t="shared" si="5"/>
        <v>Eligible</v>
      </c>
    </row>
    <row r="26" spans="1:13" ht="14.25" customHeight="1" x14ac:dyDescent="0.3">
      <c r="A26" s="1" t="s">
        <v>72</v>
      </c>
      <c r="B26" s="1" t="s">
        <v>45</v>
      </c>
      <c r="C26" s="1" t="s">
        <v>69</v>
      </c>
      <c r="D26" s="1">
        <v>36</v>
      </c>
      <c r="E26" s="1">
        <v>377.05</v>
      </c>
      <c r="F26">
        <f t="shared" si="0"/>
        <v>13573.800000000001</v>
      </c>
      <c r="G26">
        <f t="shared" si="6"/>
        <v>1357.38</v>
      </c>
      <c r="H26" s="1">
        <v>12216.52</v>
      </c>
      <c r="I26" t="str">
        <f t="shared" si="1"/>
        <v>No</v>
      </c>
      <c r="J26" t="str">
        <f t="shared" si="2"/>
        <v>No</v>
      </c>
      <c r="K26">
        <f t="shared" si="3"/>
        <v>13573.800000000001</v>
      </c>
      <c r="L26">
        <f t="shared" si="4"/>
        <v>1357.38</v>
      </c>
      <c r="M26" t="str">
        <f t="shared" si="5"/>
        <v>Eligible</v>
      </c>
    </row>
    <row r="27" spans="1:13" ht="14.25" customHeight="1" x14ac:dyDescent="0.3">
      <c r="A27" s="1" t="s">
        <v>73</v>
      </c>
      <c r="B27" s="1" t="s">
        <v>54</v>
      </c>
      <c r="C27" s="1" t="s">
        <v>46</v>
      </c>
      <c r="D27" s="1">
        <v>4</v>
      </c>
      <c r="E27" s="1">
        <v>335.65</v>
      </c>
      <c r="F27">
        <f t="shared" si="0"/>
        <v>1342.6</v>
      </c>
      <c r="G27">
        <f t="shared" si="6"/>
        <v>134.26</v>
      </c>
      <c r="H27" s="1">
        <v>1208.3399999999999</v>
      </c>
      <c r="I27" t="str">
        <f t="shared" si="1"/>
        <v>No</v>
      </c>
      <c r="J27" t="str">
        <f t="shared" si="2"/>
        <v>No</v>
      </c>
      <c r="K27">
        <f t="shared" si="3"/>
        <v>1342.6</v>
      </c>
      <c r="L27">
        <f t="shared" si="4"/>
        <v>134.26</v>
      </c>
      <c r="M27" t="str">
        <f t="shared" si="5"/>
        <v>Eligible</v>
      </c>
    </row>
    <row r="28" spans="1:13" ht="14.25" customHeight="1" x14ac:dyDescent="0.3">
      <c r="A28" s="1" t="s">
        <v>74</v>
      </c>
      <c r="B28" s="1" t="s">
        <v>54</v>
      </c>
      <c r="C28" s="1" t="s">
        <v>46</v>
      </c>
      <c r="D28" s="1">
        <v>24</v>
      </c>
      <c r="E28" s="1">
        <v>473.8</v>
      </c>
      <c r="F28">
        <f t="shared" si="0"/>
        <v>11371.2</v>
      </c>
      <c r="G28">
        <f t="shared" si="6"/>
        <v>1137.1200000000001</v>
      </c>
      <c r="H28" s="1">
        <v>10234.120000000001</v>
      </c>
      <c r="I28" t="str">
        <f t="shared" si="1"/>
        <v>No</v>
      </c>
      <c r="J28" t="str">
        <f t="shared" si="2"/>
        <v>No</v>
      </c>
      <c r="K28">
        <f t="shared" si="3"/>
        <v>11371.2</v>
      </c>
      <c r="L28">
        <f t="shared" si="4"/>
        <v>1137.1199999999999</v>
      </c>
      <c r="M28" t="str">
        <f t="shared" si="5"/>
        <v>Eligible</v>
      </c>
    </row>
    <row r="29" spans="1:13" ht="14.25" customHeight="1" x14ac:dyDescent="0.3">
      <c r="A29" s="1" t="s">
        <v>75</v>
      </c>
      <c r="B29" s="1" t="s">
        <v>45</v>
      </c>
      <c r="C29" s="1" t="s">
        <v>52</v>
      </c>
      <c r="D29" s="1">
        <v>23</v>
      </c>
      <c r="E29" s="1">
        <v>158.47999999999999</v>
      </c>
      <c r="F29">
        <f t="shared" si="0"/>
        <v>3645.04</v>
      </c>
      <c r="G29">
        <f t="shared" si="6"/>
        <v>364.50400000000002</v>
      </c>
      <c r="H29" s="1">
        <v>3280.5</v>
      </c>
      <c r="I29" t="str">
        <f t="shared" si="1"/>
        <v>No</v>
      </c>
      <c r="J29" t="str">
        <f t="shared" si="2"/>
        <v>No</v>
      </c>
      <c r="K29">
        <f t="shared" si="3"/>
        <v>3645.04</v>
      </c>
      <c r="L29">
        <f t="shared" si="4"/>
        <v>364.50400000000002</v>
      </c>
      <c r="M29" t="str">
        <f t="shared" si="5"/>
        <v>Eligible</v>
      </c>
    </row>
    <row r="30" spans="1:13" ht="14.25" customHeight="1" x14ac:dyDescent="0.3">
      <c r="A30" s="1" t="s">
        <v>76</v>
      </c>
      <c r="B30" s="1" t="s">
        <v>45</v>
      </c>
      <c r="C30" s="1" t="s">
        <v>57</v>
      </c>
      <c r="D30" s="1">
        <v>7</v>
      </c>
      <c r="E30" s="1">
        <v>312.2</v>
      </c>
      <c r="F30">
        <f t="shared" si="0"/>
        <v>2185.4</v>
      </c>
      <c r="G30">
        <f t="shared" si="6"/>
        <v>218.54000000000002</v>
      </c>
      <c r="H30" s="1">
        <v>1966.88</v>
      </c>
      <c r="I30" t="str">
        <f t="shared" si="1"/>
        <v>No</v>
      </c>
      <c r="J30" t="str">
        <f t="shared" si="2"/>
        <v>No</v>
      </c>
      <c r="K30">
        <f t="shared" si="3"/>
        <v>2185.4</v>
      </c>
      <c r="L30">
        <f t="shared" si="4"/>
        <v>218.54</v>
      </c>
      <c r="M30" t="str">
        <f t="shared" si="5"/>
        <v>Eligible</v>
      </c>
    </row>
    <row r="31" spans="1:13" ht="14.25" customHeight="1" x14ac:dyDescent="0.3">
      <c r="A31" s="1" t="s">
        <v>77</v>
      </c>
      <c r="B31" s="1" t="s">
        <v>54</v>
      </c>
      <c r="C31" s="1" t="s">
        <v>49</v>
      </c>
      <c r="D31" s="1">
        <v>19</v>
      </c>
      <c r="E31" s="1">
        <v>332.84</v>
      </c>
      <c r="F31">
        <f t="shared" si="0"/>
        <v>6323.9599999999991</v>
      </c>
      <c r="G31">
        <f t="shared" si="6"/>
        <v>632.39599999999996</v>
      </c>
      <c r="H31" s="1">
        <v>5691.53</v>
      </c>
      <c r="I31" t="str">
        <f t="shared" si="1"/>
        <v>No</v>
      </c>
      <c r="J31" t="str">
        <f t="shared" si="2"/>
        <v>No</v>
      </c>
      <c r="K31">
        <f t="shared" si="3"/>
        <v>6323.9599999999991</v>
      </c>
      <c r="L31">
        <f t="shared" si="4"/>
        <v>632.39599999999996</v>
      </c>
      <c r="M31" t="str">
        <f t="shared" si="5"/>
        <v>Eligible</v>
      </c>
    </row>
    <row r="32" spans="1:13" ht="14.25" customHeight="1" x14ac:dyDescent="0.3">
      <c r="A32" s="1" t="s">
        <v>78</v>
      </c>
      <c r="B32" s="1" t="s">
        <v>48</v>
      </c>
      <c r="C32" s="1" t="s">
        <v>49</v>
      </c>
      <c r="D32" s="1">
        <v>43</v>
      </c>
      <c r="E32" s="1">
        <v>340.84</v>
      </c>
      <c r="F32">
        <f t="shared" si="0"/>
        <v>14656.119999999999</v>
      </c>
      <c r="G32">
        <f t="shared" si="6"/>
        <v>2931.2240000000002</v>
      </c>
      <c r="H32" s="1">
        <v>11724.88</v>
      </c>
      <c r="I32" t="str">
        <f t="shared" si="1"/>
        <v>Yes</v>
      </c>
      <c r="J32" t="str">
        <f t="shared" si="2"/>
        <v>Yes</v>
      </c>
      <c r="K32">
        <f t="shared" si="3"/>
        <v>14656.119999999999</v>
      </c>
      <c r="L32">
        <f t="shared" si="4"/>
        <v>2931.2239999999997</v>
      </c>
      <c r="M32" t="str">
        <f t="shared" si="5"/>
        <v>Eligible</v>
      </c>
    </row>
    <row r="33" spans="1:13" ht="14.25" customHeight="1" x14ac:dyDescent="0.3">
      <c r="A33" s="1" t="s">
        <v>79</v>
      </c>
      <c r="B33" s="1" t="s">
        <v>48</v>
      </c>
      <c r="C33" s="1" t="s">
        <v>46</v>
      </c>
      <c r="D33" s="1">
        <v>48</v>
      </c>
      <c r="E33" s="1">
        <v>133.22999999999999</v>
      </c>
      <c r="F33">
        <f t="shared" si="0"/>
        <v>6395.0399999999991</v>
      </c>
      <c r="G33">
        <f t="shared" si="6"/>
        <v>1279.0079999999998</v>
      </c>
      <c r="H33" s="1">
        <v>5116.1899999999996</v>
      </c>
      <c r="I33" t="str">
        <f t="shared" si="1"/>
        <v>Yes</v>
      </c>
      <c r="J33" t="str">
        <f t="shared" si="2"/>
        <v>Yes</v>
      </c>
      <c r="K33">
        <f t="shared" si="3"/>
        <v>6395.0399999999991</v>
      </c>
      <c r="L33">
        <f t="shared" si="4"/>
        <v>1279.0079999999998</v>
      </c>
      <c r="M33" t="str">
        <f t="shared" si="5"/>
        <v>Eligible</v>
      </c>
    </row>
    <row r="34" spans="1:13" ht="14.25" customHeight="1" x14ac:dyDescent="0.3">
      <c r="A34" s="1" t="s">
        <v>80</v>
      </c>
      <c r="B34" s="1" t="s">
        <v>45</v>
      </c>
      <c r="C34" s="1" t="s">
        <v>46</v>
      </c>
      <c r="D34" s="1">
        <v>30</v>
      </c>
      <c r="E34" s="1">
        <v>111.5</v>
      </c>
      <c r="F34">
        <f t="shared" si="0"/>
        <v>3345</v>
      </c>
      <c r="G34">
        <f t="shared" si="6"/>
        <v>334.5</v>
      </c>
      <c r="H34" s="1">
        <v>3010.38</v>
      </c>
      <c r="I34" t="str">
        <f t="shared" si="1"/>
        <v>No</v>
      </c>
      <c r="J34" t="str">
        <f t="shared" si="2"/>
        <v>No</v>
      </c>
      <c r="K34">
        <f t="shared" si="3"/>
        <v>3345</v>
      </c>
      <c r="L34">
        <f t="shared" si="4"/>
        <v>334.5</v>
      </c>
      <c r="M34" t="str">
        <f t="shared" si="5"/>
        <v>Eligible</v>
      </c>
    </row>
    <row r="35" spans="1:13" ht="14.25" customHeight="1" x14ac:dyDescent="0.3">
      <c r="A35" s="1" t="s">
        <v>81</v>
      </c>
      <c r="B35" s="1" t="s">
        <v>54</v>
      </c>
      <c r="C35" s="1" t="s">
        <v>57</v>
      </c>
      <c r="D35" s="1">
        <v>21</v>
      </c>
      <c r="E35" s="1">
        <v>479.43</v>
      </c>
      <c r="F35">
        <f t="shared" si="0"/>
        <v>10068.030000000001</v>
      </c>
      <c r="G35">
        <f t="shared" si="6"/>
        <v>1006.8030000000001</v>
      </c>
      <c r="H35" s="1">
        <v>9061.15</v>
      </c>
      <c r="I35" t="str">
        <f t="shared" si="1"/>
        <v>No</v>
      </c>
      <c r="J35" t="str">
        <f t="shared" si="2"/>
        <v>No</v>
      </c>
      <c r="K35">
        <f t="shared" si="3"/>
        <v>10068.030000000001</v>
      </c>
      <c r="L35">
        <f t="shared" si="4"/>
        <v>1006.803</v>
      </c>
      <c r="M35" t="str">
        <f t="shared" si="5"/>
        <v>Eligible</v>
      </c>
    </row>
    <row r="36" spans="1:13" ht="14.25" customHeight="1" x14ac:dyDescent="0.3">
      <c r="A36" s="1" t="s">
        <v>82</v>
      </c>
      <c r="B36" s="1" t="s">
        <v>45</v>
      </c>
      <c r="C36" s="1" t="s">
        <v>46</v>
      </c>
      <c r="D36" s="1">
        <v>16</v>
      </c>
      <c r="E36" s="1">
        <v>431.22</v>
      </c>
      <c r="F36">
        <f t="shared" si="0"/>
        <v>6899.52</v>
      </c>
      <c r="G36">
        <f t="shared" si="6"/>
        <v>689.95200000000011</v>
      </c>
      <c r="H36" s="1">
        <v>6209.59</v>
      </c>
      <c r="I36" t="str">
        <f t="shared" si="1"/>
        <v>No</v>
      </c>
      <c r="J36" t="str">
        <f t="shared" si="2"/>
        <v>No</v>
      </c>
      <c r="K36">
        <f t="shared" si="3"/>
        <v>6899.52</v>
      </c>
      <c r="L36">
        <f t="shared" si="4"/>
        <v>689.95200000000011</v>
      </c>
      <c r="M36" t="str">
        <f t="shared" si="5"/>
        <v>Eligible</v>
      </c>
    </row>
    <row r="37" spans="1:13" ht="14.25" customHeight="1" x14ac:dyDescent="0.3">
      <c r="A37" s="1" t="s">
        <v>83</v>
      </c>
      <c r="B37" s="1" t="s">
        <v>48</v>
      </c>
      <c r="C37" s="1" t="s">
        <v>69</v>
      </c>
      <c r="D37" s="1">
        <v>5</v>
      </c>
      <c r="E37" s="1">
        <v>439.06</v>
      </c>
      <c r="F37">
        <f t="shared" si="0"/>
        <v>2195.3000000000002</v>
      </c>
      <c r="G37">
        <f t="shared" si="6"/>
        <v>439.06000000000006</v>
      </c>
      <c r="H37" s="1">
        <v>1756.23</v>
      </c>
      <c r="I37" t="str">
        <f t="shared" si="1"/>
        <v>Yes</v>
      </c>
      <c r="J37" t="str">
        <f t="shared" si="2"/>
        <v>No</v>
      </c>
      <c r="K37">
        <f t="shared" si="3"/>
        <v>2195.3000000000002</v>
      </c>
      <c r="L37">
        <f t="shared" si="4"/>
        <v>439.06</v>
      </c>
      <c r="M37" t="str">
        <f t="shared" si="5"/>
        <v>Eligible</v>
      </c>
    </row>
    <row r="38" spans="1:13" ht="14.25" customHeight="1" x14ac:dyDescent="0.3">
      <c r="A38" s="1" t="s">
        <v>84</v>
      </c>
      <c r="B38" s="1" t="s">
        <v>45</v>
      </c>
      <c r="C38" s="1" t="s">
        <v>57</v>
      </c>
      <c r="D38" s="1">
        <v>8</v>
      </c>
      <c r="E38" s="1">
        <v>215.43</v>
      </c>
      <c r="F38">
        <f t="shared" si="0"/>
        <v>1723.44</v>
      </c>
      <c r="G38">
        <f t="shared" si="6"/>
        <v>172.34400000000002</v>
      </c>
      <c r="H38" s="1">
        <v>1551.08</v>
      </c>
      <c r="I38" t="str">
        <f t="shared" si="1"/>
        <v>No</v>
      </c>
      <c r="J38" t="str">
        <f t="shared" si="2"/>
        <v>No</v>
      </c>
      <c r="K38">
        <f t="shared" si="3"/>
        <v>1723.44</v>
      </c>
      <c r="L38">
        <f t="shared" si="4"/>
        <v>172.34400000000002</v>
      </c>
      <c r="M38" t="str">
        <f t="shared" si="5"/>
        <v>Eligible</v>
      </c>
    </row>
    <row r="39" spans="1:13" ht="14.25" customHeight="1" x14ac:dyDescent="0.3">
      <c r="A39" s="1" t="s">
        <v>85</v>
      </c>
      <c r="B39" s="1" t="s">
        <v>48</v>
      </c>
      <c r="C39" s="1" t="s">
        <v>46</v>
      </c>
      <c r="D39" s="1">
        <v>28</v>
      </c>
      <c r="E39" s="1">
        <v>436.67</v>
      </c>
      <c r="F39">
        <f t="shared" si="0"/>
        <v>12226.76</v>
      </c>
      <c r="G39">
        <f t="shared" si="6"/>
        <v>2445.3520000000003</v>
      </c>
      <c r="H39" s="1">
        <v>9781.31</v>
      </c>
      <c r="I39" t="str">
        <f t="shared" si="1"/>
        <v>Yes</v>
      </c>
      <c r="J39" t="str">
        <f t="shared" si="2"/>
        <v>Yes</v>
      </c>
      <c r="K39">
        <f t="shared" si="3"/>
        <v>12226.76</v>
      </c>
      <c r="L39">
        <f t="shared" si="4"/>
        <v>2445.3520000000003</v>
      </c>
      <c r="M39" t="str">
        <f t="shared" si="5"/>
        <v>Eligible</v>
      </c>
    </row>
    <row r="40" spans="1:13" ht="14.25" customHeight="1" x14ac:dyDescent="0.3">
      <c r="A40" s="1" t="s">
        <v>86</v>
      </c>
      <c r="B40" s="1" t="s">
        <v>54</v>
      </c>
      <c r="C40" s="1" t="s">
        <v>46</v>
      </c>
      <c r="D40" s="1">
        <v>9</v>
      </c>
      <c r="E40" s="1">
        <v>202.09</v>
      </c>
      <c r="F40">
        <f t="shared" si="0"/>
        <v>1818.81</v>
      </c>
      <c r="G40">
        <f t="shared" si="6"/>
        <v>181.881</v>
      </c>
      <c r="H40" s="1">
        <v>1636.9</v>
      </c>
      <c r="I40" t="str">
        <f t="shared" si="1"/>
        <v>No</v>
      </c>
      <c r="J40" t="str">
        <f t="shared" si="2"/>
        <v>No</v>
      </c>
      <c r="K40">
        <f t="shared" si="3"/>
        <v>1818.81</v>
      </c>
      <c r="L40">
        <f t="shared" si="4"/>
        <v>181.88099999999997</v>
      </c>
      <c r="M40" t="str">
        <f t="shared" si="5"/>
        <v>Eligible</v>
      </c>
    </row>
    <row r="41" spans="1:13" ht="14.25" customHeight="1" x14ac:dyDescent="0.3">
      <c r="A41" s="1" t="s">
        <v>87</v>
      </c>
      <c r="B41" s="1" t="s">
        <v>45</v>
      </c>
      <c r="C41" s="1" t="s">
        <v>52</v>
      </c>
      <c r="D41" s="1">
        <v>47</v>
      </c>
      <c r="E41" s="1">
        <v>350.95</v>
      </c>
      <c r="F41">
        <f t="shared" si="0"/>
        <v>16494.649999999998</v>
      </c>
      <c r="G41">
        <f t="shared" si="6"/>
        <v>1649.4649999999999</v>
      </c>
      <c r="H41" s="1">
        <v>14845.18</v>
      </c>
      <c r="I41" t="str">
        <f t="shared" si="1"/>
        <v>No</v>
      </c>
      <c r="J41" t="str">
        <f t="shared" si="2"/>
        <v>No</v>
      </c>
      <c r="K41">
        <f t="shared" si="3"/>
        <v>16494.649999999998</v>
      </c>
      <c r="L41">
        <f t="shared" si="4"/>
        <v>1649.4649999999997</v>
      </c>
      <c r="M41" t="str">
        <f t="shared" si="5"/>
        <v>Eligible</v>
      </c>
    </row>
    <row r="42" spans="1:13" ht="14.25" customHeight="1" x14ac:dyDescent="0.3">
      <c r="A42" s="1" t="s">
        <v>88</v>
      </c>
      <c r="B42" s="1" t="s">
        <v>54</v>
      </c>
      <c r="C42" s="1" t="s">
        <v>57</v>
      </c>
      <c r="D42" s="1">
        <v>34</v>
      </c>
      <c r="E42" s="1">
        <v>222.62</v>
      </c>
      <c r="F42">
        <f t="shared" si="0"/>
        <v>7569.08</v>
      </c>
      <c r="G42">
        <f t="shared" si="6"/>
        <v>756.90800000000002</v>
      </c>
      <c r="H42" s="1">
        <v>6812.07</v>
      </c>
      <c r="I42" t="str">
        <f t="shared" si="1"/>
        <v>No</v>
      </c>
      <c r="J42" t="str">
        <f t="shared" si="2"/>
        <v>No</v>
      </c>
      <c r="K42">
        <f t="shared" si="3"/>
        <v>7569.08</v>
      </c>
      <c r="L42">
        <f t="shared" si="4"/>
        <v>756.90800000000002</v>
      </c>
      <c r="M42" t="str">
        <f t="shared" si="5"/>
        <v>Eligible</v>
      </c>
    </row>
    <row r="43" spans="1:13" ht="14.25" customHeight="1" x14ac:dyDescent="0.3">
      <c r="A43" s="1" t="s">
        <v>89</v>
      </c>
      <c r="B43" s="1" t="s">
        <v>48</v>
      </c>
      <c r="C43" s="1" t="s">
        <v>46</v>
      </c>
      <c r="D43" s="1">
        <v>10</v>
      </c>
      <c r="E43" s="1">
        <v>311.13</v>
      </c>
      <c r="F43">
        <f t="shared" si="0"/>
        <v>3111.3</v>
      </c>
      <c r="G43">
        <f t="shared" si="6"/>
        <v>622.2600000000001</v>
      </c>
      <c r="H43" s="1">
        <v>2489.0100000000002</v>
      </c>
      <c r="I43" t="str">
        <f t="shared" si="1"/>
        <v>Yes</v>
      </c>
      <c r="J43" t="str">
        <f t="shared" si="2"/>
        <v>No</v>
      </c>
      <c r="K43">
        <f t="shared" si="3"/>
        <v>3111.3</v>
      </c>
      <c r="L43">
        <f t="shared" si="4"/>
        <v>622.26</v>
      </c>
      <c r="M43" t="str">
        <f t="shared" si="5"/>
        <v>Eligible</v>
      </c>
    </row>
    <row r="44" spans="1:13" ht="14.25" customHeight="1" x14ac:dyDescent="0.3">
      <c r="A44" s="1" t="s">
        <v>90</v>
      </c>
      <c r="B44" s="1" t="s">
        <v>54</v>
      </c>
      <c r="C44" s="1" t="s">
        <v>69</v>
      </c>
      <c r="D44" s="1">
        <v>2</v>
      </c>
      <c r="E44" s="1">
        <v>369.07</v>
      </c>
      <c r="F44">
        <f t="shared" si="0"/>
        <v>738.14</v>
      </c>
      <c r="G44">
        <f t="shared" si="6"/>
        <v>73.814000000000007</v>
      </c>
      <c r="H44" s="1">
        <v>664.33</v>
      </c>
      <c r="I44" t="str">
        <f t="shared" si="1"/>
        <v>No</v>
      </c>
      <c r="J44" t="str">
        <f t="shared" si="2"/>
        <v>No</v>
      </c>
      <c r="K44">
        <f t="shared" si="3"/>
        <v>738.14</v>
      </c>
      <c r="L44">
        <f t="shared" si="4"/>
        <v>73.813999999999993</v>
      </c>
      <c r="M44" t="str">
        <f t="shared" si="5"/>
        <v>Not eligible</v>
      </c>
    </row>
    <row r="45" spans="1:13" ht="14.25" customHeight="1" x14ac:dyDescent="0.3">
      <c r="A45" s="1" t="s">
        <v>91</v>
      </c>
      <c r="B45" s="1" t="s">
        <v>54</v>
      </c>
      <c r="C45" s="1" t="s">
        <v>49</v>
      </c>
      <c r="D45" s="1">
        <v>1</v>
      </c>
      <c r="E45" s="1">
        <v>460.84</v>
      </c>
      <c r="F45">
        <f t="shared" si="0"/>
        <v>460.84</v>
      </c>
      <c r="G45">
        <f t="shared" si="6"/>
        <v>46.084000000000003</v>
      </c>
      <c r="H45" s="1">
        <v>414.76</v>
      </c>
      <c r="I45" t="str">
        <f t="shared" si="1"/>
        <v>No</v>
      </c>
      <c r="J45" t="str">
        <f t="shared" si="2"/>
        <v>No</v>
      </c>
      <c r="K45">
        <f t="shared" si="3"/>
        <v>460.84</v>
      </c>
      <c r="L45">
        <f t="shared" si="4"/>
        <v>46.083999999999996</v>
      </c>
      <c r="M45" t="str">
        <f t="shared" si="5"/>
        <v>Not eligible</v>
      </c>
    </row>
    <row r="46" spans="1:13" ht="14.25" customHeight="1" x14ac:dyDescent="0.3">
      <c r="A46" s="1" t="s">
        <v>92</v>
      </c>
      <c r="B46" s="1" t="s">
        <v>48</v>
      </c>
      <c r="C46" s="1" t="s">
        <v>52</v>
      </c>
      <c r="D46" s="1">
        <v>47</v>
      </c>
      <c r="E46" s="1">
        <v>403.56</v>
      </c>
      <c r="F46">
        <f t="shared" si="0"/>
        <v>18967.32</v>
      </c>
      <c r="G46">
        <f t="shared" si="6"/>
        <v>3793.4639999999999</v>
      </c>
      <c r="H46" s="1">
        <v>15173.68</v>
      </c>
      <c r="I46" t="str">
        <f t="shared" si="1"/>
        <v>Yes</v>
      </c>
      <c r="J46" t="str">
        <f t="shared" si="2"/>
        <v>Yes</v>
      </c>
      <c r="K46">
        <f t="shared" si="3"/>
        <v>18967.32</v>
      </c>
      <c r="L46">
        <f t="shared" si="4"/>
        <v>3793.4640000000004</v>
      </c>
      <c r="M46" t="str">
        <f t="shared" si="5"/>
        <v>Eligible</v>
      </c>
    </row>
    <row r="47" spans="1:13" ht="14.25" customHeight="1" x14ac:dyDescent="0.3">
      <c r="A47" s="1" t="s">
        <v>93</v>
      </c>
      <c r="B47" s="1" t="s">
        <v>54</v>
      </c>
      <c r="C47" s="1" t="s">
        <v>49</v>
      </c>
      <c r="D47" s="1">
        <v>30</v>
      </c>
      <c r="E47" s="1">
        <v>293.05</v>
      </c>
      <c r="F47">
        <f t="shared" si="0"/>
        <v>8791.5</v>
      </c>
      <c r="G47">
        <f t="shared" si="6"/>
        <v>879.15000000000009</v>
      </c>
      <c r="H47" s="1">
        <v>7912.37</v>
      </c>
      <c r="I47" t="str">
        <f t="shared" si="1"/>
        <v>No</v>
      </c>
      <c r="J47" t="str">
        <f t="shared" si="2"/>
        <v>No</v>
      </c>
      <c r="K47">
        <f t="shared" si="3"/>
        <v>8791.5</v>
      </c>
      <c r="L47">
        <f t="shared" si="4"/>
        <v>879.15</v>
      </c>
      <c r="M47" t="str">
        <f t="shared" si="5"/>
        <v>Eligible</v>
      </c>
    </row>
    <row r="48" spans="1:13" ht="14.25" customHeight="1" x14ac:dyDescent="0.3">
      <c r="A48" s="1" t="s">
        <v>94</v>
      </c>
      <c r="B48" s="1" t="s">
        <v>54</v>
      </c>
      <c r="C48" s="1" t="s">
        <v>46</v>
      </c>
      <c r="D48" s="1">
        <v>38</v>
      </c>
      <c r="E48" s="1">
        <v>91.51</v>
      </c>
      <c r="F48">
        <f t="shared" si="0"/>
        <v>3477.38</v>
      </c>
      <c r="G48">
        <f t="shared" si="6"/>
        <v>347.73800000000006</v>
      </c>
      <c r="H48" s="1">
        <v>3129.5</v>
      </c>
      <c r="I48" t="str">
        <f t="shared" si="1"/>
        <v>No</v>
      </c>
      <c r="J48" t="str">
        <f t="shared" si="2"/>
        <v>No</v>
      </c>
      <c r="K48">
        <f t="shared" si="3"/>
        <v>3477.38</v>
      </c>
      <c r="L48">
        <f t="shared" si="4"/>
        <v>347.73800000000006</v>
      </c>
      <c r="M48" t="str">
        <f t="shared" si="5"/>
        <v>Eligible</v>
      </c>
    </row>
    <row r="49" spans="1:13" ht="14.25" customHeight="1" x14ac:dyDescent="0.3">
      <c r="A49" s="1" t="s">
        <v>95</v>
      </c>
      <c r="B49" s="1" t="s">
        <v>45</v>
      </c>
      <c r="C49" s="1" t="s">
        <v>69</v>
      </c>
      <c r="D49" s="1">
        <v>45</v>
      </c>
      <c r="E49" s="1">
        <v>147.9</v>
      </c>
      <c r="F49">
        <f t="shared" si="0"/>
        <v>6655.5</v>
      </c>
      <c r="G49">
        <f t="shared" si="6"/>
        <v>665.55000000000007</v>
      </c>
      <c r="H49" s="1">
        <v>5990.07</v>
      </c>
      <c r="I49" t="str">
        <f t="shared" si="1"/>
        <v>No</v>
      </c>
      <c r="J49" t="str">
        <f t="shared" si="2"/>
        <v>No</v>
      </c>
      <c r="K49">
        <f t="shared" si="3"/>
        <v>6655.5</v>
      </c>
      <c r="L49">
        <f t="shared" si="4"/>
        <v>665.55</v>
      </c>
      <c r="M49" t="str">
        <f t="shared" si="5"/>
        <v>Eligible</v>
      </c>
    </row>
    <row r="50" spans="1:13" ht="14.25" customHeight="1" x14ac:dyDescent="0.3">
      <c r="A50" s="1" t="s">
        <v>96</v>
      </c>
      <c r="B50" s="1" t="s">
        <v>48</v>
      </c>
      <c r="C50" s="1" t="s">
        <v>69</v>
      </c>
      <c r="D50" s="1">
        <v>9</v>
      </c>
      <c r="E50" s="1">
        <v>410.96</v>
      </c>
      <c r="F50">
        <f t="shared" si="0"/>
        <v>3698.64</v>
      </c>
      <c r="G50">
        <f t="shared" si="6"/>
        <v>739.72800000000007</v>
      </c>
      <c r="H50" s="1">
        <v>2958.95</v>
      </c>
      <c r="I50" t="str">
        <f t="shared" si="1"/>
        <v>Yes</v>
      </c>
      <c r="J50" t="str">
        <f t="shared" si="2"/>
        <v>No</v>
      </c>
      <c r="K50">
        <f t="shared" si="3"/>
        <v>3698.64</v>
      </c>
      <c r="L50">
        <f t="shared" si="4"/>
        <v>739.72800000000007</v>
      </c>
      <c r="M50" t="str">
        <f t="shared" si="5"/>
        <v>Eligible</v>
      </c>
    </row>
    <row r="51" spans="1:13" ht="14.25" customHeight="1" x14ac:dyDescent="0.3">
      <c r="A51" s="1" t="s">
        <v>97</v>
      </c>
      <c r="B51" s="1" t="s">
        <v>48</v>
      </c>
      <c r="C51" s="1" t="s">
        <v>57</v>
      </c>
      <c r="D51" s="1">
        <v>6</v>
      </c>
      <c r="E51" s="1">
        <v>193.52</v>
      </c>
      <c r="F51">
        <f t="shared" si="0"/>
        <v>1161.1200000000001</v>
      </c>
      <c r="G51">
        <f t="shared" si="6"/>
        <v>232.22400000000005</v>
      </c>
      <c r="H51" s="1">
        <v>928.88</v>
      </c>
      <c r="I51" t="str">
        <f t="shared" si="1"/>
        <v>Yes</v>
      </c>
      <c r="J51" t="str">
        <f t="shared" si="2"/>
        <v>No</v>
      </c>
      <c r="K51">
        <f t="shared" si="3"/>
        <v>1161.1200000000001</v>
      </c>
      <c r="L51">
        <f t="shared" si="4"/>
        <v>232.22400000000002</v>
      </c>
      <c r="M51" t="str">
        <f t="shared" si="5"/>
        <v>Eligible</v>
      </c>
    </row>
    <row r="52" spans="1:13" ht="14.25" customHeight="1" x14ac:dyDescent="0.3">
      <c r="A52" s="1" t="s">
        <v>98</v>
      </c>
      <c r="B52" s="1" t="s">
        <v>45</v>
      </c>
      <c r="C52" s="1" t="s">
        <v>49</v>
      </c>
      <c r="D52" s="1">
        <v>21</v>
      </c>
      <c r="E52" s="1">
        <v>412.3</v>
      </c>
      <c r="F52">
        <f t="shared" si="0"/>
        <v>8658.3000000000011</v>
      </c>
      <c r="G52">
        <f t="shared" si="6"/>
        <v>865.83000000000015</v>
      </c>
      <c r="H52" s="1">
        <v>7792.41</v>
      </c>
      <c r="I52" t="str">
        <f t="shared" si="1"/>
        <v>No</v>
      </c>
      <c r="J52" t="str">
        <f t="shared" si="2"/>
        <v>No</v>
      </c>
      <c r="K52">
        <f t="shared" si="3"/>
        <v>8658.3000000000011</v>
      </c>
      <c r="L52">
        <f t="shared" si="4"/>
        <v>865.83000000000015</v>
      </c>
      <c r="M52" t="str">
        <f t="shared" si="5"/>
        <v>Eligible</v>
      </c>
    </row>
    <row r="53" spans="1:13" ht="14.25" customHeight="1" x14ac:dyDescent="0.3">
      <c r="A53" s="1" t="s">
        <v>99</v>
      </c>
      <c r="B53" s="1" t="s">
        <v>45</v>
      </c>
      <c r="C53" s="1" t="s">
        <v>57</v>
      </c>
      <c r="D53" s="1">
        <v>30</v>
      </c>
      <c r="E53" s="1">
        <v>89.93</v>
      </c>
      <c r="F53">
        <f t="shared" si="0"/>
        <v>2697.9</v>
      </c>
      <c r="G53">
        <f t="shared" si="6"/>
        <v>269.79000000000002</v>
      </c>
      <c r="H53" s="1">
        <v>2428.15</v>
      </c>
      <c r="I53" t="str">
        <f t="shared" si="1"/>
        <v>No</v>
      </c>
      <c r="J53" t="str">
        <f t="shared" si="2"/>
        <v>No</v>
      </c>
      <c r="K53">
        <f t="shared" si="3"/>
        <v>2697.9</v>
      </c>
      <c r="L53">
        <f t="shared" si="4"/>
        <v>269.79000000000002</v>
      </c>
      <c r="M53" t="str">
        <f t="shared" si="5"/>
        <v>Eligible</v>
      </c>
    </row>
    <row r="54" spans="1:13" ht="14.25" customHeight="1" x14ac:dyDescent="0.3">
      <c r="A54" s="1" t="s">
        <v>100</v>
      </c>
      <c r="B54" s="1" t="s">
        <v>45</v>
      </c>
      <c r="C54" s="1" t="s">
        <v>49</v>
      </c>
      <c r="D54" s="1">
        <v>2</v>
      </c>
      <c r="E54" s="1">
        <v>116.94</v>
      </c>
      <c r="F54">
        <f t="shared" si="0"/>
        <v>233.88</v>
      </c>
      <c r="G54">
        <f t="shared" si="6"/>
        <v>23.388000000000002</v>
      </c>
      <c r="H54" s="1">
        <v>210.49</v>
      </c>
      <c r="I54" t="str">
        <f t="shared" si="1"/>
        <v>No</v>
      </c>
      <c r="J54" t="str">
        <f t="shared" si="2"/>
        <v>No</v>
      </c>
      <c r="K54">
        <f t="shared" si="3"/>
        <v>233.88</v>
      </c>
      <c r="L54">
        <f t="shared" si="4"/>
        <v>23.388000000000002</v>
      </c>
      <c r="M54" t="str">
        <f t="shared" si="5"/>
        <v>Not eligible</v>
      </c>
    </row>
    <row r="55" spans="1:13" ht="14.25" customHeight="1" x14ac:dyDescent="0.3"/>
    <row r="56" spans="1:13" ht="14.25" customHeight="1" x14ac:dyDescent="0.3"/>
    <row r="57" spans="1:13" ht="14.25" customHeight="1" x14ac:dyDescent="0.3"/>
    <row r="58" spans="1:13" ht="14.25" customHeight="1" x14ac:dyDescent="0.3"/>
    <row r="59" spans="1:13" ht="14.25" customHeight="1" x14ac:dyDescent="0.3"/>
    <row r="60" spans="1:13" ht="14.25" customHeight="1" x14ac:dyDescent="0.3"/>
    <row r="61" spans="1:13" ht="14.25" customHeight="1" x14ac:dyDescent="0.3"/>
    <row r="62" spans="1:13" ht="14.25" customHeight="1" x14ac:dyDescent="0.3"/>
    <row r="63" spans="1:13" ht="14.25" customHeight="1" x14ac:dyDescent="0.3"/>
    <row r="64" spans="1:1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J1"/>
  </mergeCells>
  <conditionalFormatting sqref="N5:XFD53">
    <cfRule type="expression" dxfId="3" priority="3">
      <formula>$H6&gt;10000</formula>
    </cfRule>
    <cfRule type="expression" dxfId="2" priority="4">
      <formula>$H$6&gt;10000</formula>
    </cfRule>
  </conditionalFormatting>
  <conditionalFormatting sqref="A6:M54">
    <cfRule type="expression" dxfId="1" priority="5">
      <formula>$H6&gt;10000</formula>
    </cfRule>
    <cfRule type="expression" dxfId="0" priority="6">
      <formula>$H$6&gt;10000</formula>
    </cfRule>
  </conditionalFormatting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Intermediate</vt:lpstr>
      <vt:lpstr>Challenging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gamal</cp:lastModifiedBy>
  <dcterms:created xsi:type="dcterms:W3CDTF">2024-12-15T00:44:56Z</dcterms:created>
  <dcterms:modified xsi:type="dcterms:W3CDTF">2026-01-06T19:01:40Z</dcterms:modified>
</cp:coreProperties>
</file>
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10C22DC4-10A7-412A-A750-67EC5CB98FF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in - Ma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ZeAHUJoAwYjsXb96vpuc+AiVvME6KTQ5vgcXwYX8aek="/>
    </ext>
  </extLst>
</workbook>
</file>

<file path=xl/calcChain.xml><?xml version="1.0" encoding="utf-8"?>
<calcChain xmlns="http://schemas.openxmlformats.org/spreadsheetml/2006/main">
  <c r="O2" i="1" l="1"/>
  <c r="P2" i="1"/>
  <c r="N2" i="1"/>
  <c r="M2" i="1"/>
  <c r="L2" i="1"/>
  <c r="K2" i="1"/>
  <c r="J2" i="1"/>
</calcChain>
</file>

<file path=xl/sharedStrings.xml><?xml version="1.0" encoding="utf-8"?>
<sst xmlns="http://schemas.openxmlformats.org/spreadsheetml/2006/main" count="116" uniqueCount="80">
  <si>
    <t>TeacherID</t>
  </si>
  <si>
    <t>FirstName</t>
  </si>
  <si>
    <t>LastName</t>
  </si>
  <si>
    <t>Age</t>
  </si>
  <si>
    <t>Gender</t>
  </si>
  <si>
    <t>Subject</t>
  </si>
  <si>
    <t>Salary</t>
  </si>
  <si>
    <t>YearsTeaching</t>
  </si>
  <si>
    <t>School</t>
  </si>
  <si>
    <t>Max</t>
  </si>
  <si>
    <t>Min</t>
  </si>
  <si>
    <t>Mean</t>
  </si>
  <si>
    <t>Median</t>
  </si>
  <si>
    <t>Mode</t>
  </si>
  <si>
    <t>Range</t>
  </si>
  <si>
    <t>IQR</t>
  </si>
  <si>
    <t>George</t>
  </si>
  <si>
    <t>Moore</t>
  </si>
  <si>
    <t>Male</t>
  </si>
  <si>
    <t>Math</t>
  </si>
  <si>
    <t>High School</t>
  </si>
  <si>
    <t>Hannah</t>
  </si>
  <si>
    <t>Taylor</t>
  </si>
  <si>
    <t>Female</t>
  </si>
  <si>
    <t>Science</t>
  </si>
  <si>
    <t>Middle School</t>
  </si>
  <si>
    <t>Ian</t>
  </si>
  <si>
    <t>Lewis</t>
  </si>
  <si>
    <t>History</t>
  </si>
  <si>
    <t>Jack</t>
  </si>
  <si>
    <t>White</t>
  </si>
  <si>
    <t>English</t>
  </si>
  <si>
    <t>Kara</t>
  </si>
  <si>
    <t>Clark</t>
  </si>
  <si>
    <t>Art</t>
  </si>
  <si>
    <t>Elementary School</t>
  </si>
  <si>
    <t>Laura</t>
  </si>
  <si>
    <t>Harris</t>
  </si>
  <si>
    <t>Computer Science</t>
  </si>
  <si>
    <t>College</t>
  </si>
  <si>
    <t>Michael</t>
  </si>
  <si>
    <t>King</t>
  </si>
  <si>
    <t>Physics</t>
  </si>
  <si>
    <t>Nina</t>
  </si>
  <si>
    <t>Lopez</t>
  </si>
  <si>
    <t>Biology</t>
  </si>
  <si>
    <t>Oscar</t>
  </si>
  <si>
    <t>Martin</t>
  </si>
  <si>
    <t>Chemistry</t>
  </si>
  <si>
    <t>Paul</t>
  </si>
  <si>
    <t>Allen</t>
  </si>
  <si>
    <t>Geography</t>
  </si>
  <si>
    <t>Quinn</t>
  </si>
  <si>
    <t>Young</t>
  </si>
  <si>
    <t>Physical Education</t>
  </si>
  <si>
    <t>Rachel</t>
  </si>
  <si>
    <t>Green</t>
  </si>
  <si>
    <t>Economics</t>
  </si>
  <si>
    <t>Steve</t>
  </si>
  <si>
    <t>Hill</t>
  </si>
  <si>
    <t>Music</t>
  </si>
  <si>
    <t>Tina</t>
  </si>
  <si>
    <t>Scott</t>
  </si>
  <si>
    <t>Drama</t>
  </si>
  <si>
    <t>Uma</t>
  </si>
  <si>
    <t>Adams</t>
  </si>
  <si>
    <t>Psychology</t>
  </si>
  <si>
    <t>Victor</t>
  </si>
  <si>
    <t>Sociology</t>
  </si>
  <si>
    <t>Wendy</t>
  </si>
  <si>
    <t>Brown</t>
  </si>
  <si>
    <t>Philosophy</t>
  </si>
  <si>
    <t>Xander</t>
  </si>
  <si>
    <t>Literature</t>
  </si>
  <si>
    <t>Yvonne</t>
  </si>
  <si>
    <t>Davis</t>
  </si>
  <si>
    <t>Politics</t>
  </si>
  <si>
    <t>Zack</t>
  </si>
  <si>
    <t>Wilson</t>
  </si>
  <si>
    <t>Law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</si>
</sst>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0"/>
      <name val="Calibri"/>
    </font>
    <font>
      <b/>
      <sz val="11"/>
      <color rgb="FFFFFFFF"/>
      <name val="Calibri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5B9BD5"/>
        <bgColor rgb="FF5B9BD5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2" fillId="3" borderId="3" xfId="0" applyFont="1" applyFill="1" applyBorder="1" applyAlignment="1">
      <alignment horizontal="center" vertical="top"/>
    </xf>
    <xf numFmtId="0" fontId="3" fillId="0" borderId="0" xfId="0" applyFont="1"/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0"/>
  <sheetViews>
    <sheetView tabSelected="1" workbookViewId="0">
      <selection activeCell="O3" sqref="O3"/>
    </sheetView>
  </sheetViews>
  <sheetFormatPr defaultColWidth="14.44140625" defaultRowHeight="15" customHeight="1" x14ac:dyDescent="0.3"/>
  <cols>
    <col min="1" max="1" width="8.6640625" customWidth="1"/>
    <col min="2" max="2" width="9.44140625" customWidth="1"/>
    <col min="3" max="3" width="9.109375" customWidth="1"/>
    <col min="4" max="5" width="8.6640625" customWidth="1"/>
    <col min="6" max="6" width="16.109375" customWidth="1"/>
    <col min="7" max="7" width="8.6640625" customWidth="1"/>
    <col min="8" max="8" width="12.6640625" customWidth="1"/>
    <col min="9" max="9" width="16.33203125" customWidth="1"/>
    <col min="10" max="26" width="8.6640625" customWidth="1"/>
  </cols>
  <sheetData>
    <row r="1" spans="1:1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ht="14.25" customHeight="1" x14ac:dyDescent="0.3">
      <c r="A2" s="4">
        <v>4010</v>
      </c>
      <c r="B2" s="4" t="s">
        <v>16</v>
      </c>
      <c r="C2" s="4" t="s">
        <v>17</v>
      </c>
      <c r="D2" s="5">
        <v>45</v>
      </c>
      <c r="E2" s="4" t="s">
        <v>18</v>
      </c>
      <c r="F2" s="4" t="s">
        <v>19</v>
      </c>
      <c r="G2" s="5">
        <v>55000</v>
      </c>
      <c r="H2" s="5">
        <v>20</v>
      </c>
      <c r="I2" s="4" t="s">
        <v>20</v>
      </c>
      <c r="J2">
        <f>_xlfn.QUARTILE.INC(G:G,4)</f>
        <v>67000</v>
      </c>
      <c r="K2">
        <f>_xlfn.QUARTILE.INC(G:G,0)</f>
        <v>45000</v>
      </c>
      <c r="L2">
        <f>AVERAGE(G:G)</f>
        <v>55950</v>
      </c>
      <c r="M2">
        <f>MEDIAN(G:G)</f>
        <v>56500</v>
      </c>
      <c r="N2">
        <f>MODE(G:G)</f>
        <v>60000</v>
      </c>
      <c r="O2">
        <f>J2-K2</f>
        <v>22000</v>
      </c>
      <c r="P2">
        <f>_xlfn.QUARTILE.INC(G:G,3)-_xlfn.QUARTILE.INC(G:G,1)</f>
        <v>8750</v>
      </c>
    </row>
    <row r="3" spans="1:16" ht="14.25" customHeight="1" x14ac:dyDescent="0.3">
      <c r="A3" s="4">
        <v>4011</v>
      </c>
      <c r="B3" s="4" t="s">
        <v>21</v>
      </c>
      <c r="C3" s="4" t="s">
        <v>22</v>
      </c>
      <c r="D3" s="5">
        <v>30</v>
      </c>
      <c r="E3" s="4" t="s">
        <v>23</v>
      </c>
      <c r="F3" s="4" t="s">
        <v>24</v>
      </c>
      <c r="G3" s="5">
        <v>47000</v>
      </c>
      <c r="H3" s="5">
        <v>8</v>
      </c>
      <c r="I3" s="4" t="s">
        <v>25</v>
      </c>
    </row>
    <row r="4" spans="1:16" ht="14.25" customHeight="1" x14ac:dyDescent="0.3">
      <c r="A4" s="4">
        <v>4012</v>
      </c>
      <c r="B4" s="4" t="s">
        <v>26</v>
      </c>
      <c r="C4" s="4" t="s">
        <v>27</v>
      </c>
      <c r="D4" s="5">
        <v>50</v>
      </c>
      <c r="E4" s="4" t="s">
        <v>18</v>
      </c>
      <c r="F4" s="4" t="s">
        <v>28</v>
      </c>
      <c r="G4" s="5">
        <v>60000</v>
      </c>
      <c r="H4" s="5">
        <v>25</v>
      </c>
      <c r="I4" s="4" t="s">
        <v>20</v>
      </c>
    </row>
    <row r="5" spans="1:16" ht="14.25" customHeight="1" x14ac:dyDescent="0.3">
      <c r="A5" s="4">
        <v>4013</v>
      </c>
      <c r="B5" s="4" t="s">
        <v>29</v>
      </c>
      <c r="C5" s="4" t="s">
        <v>30</v>
      </c>
      <c r="D5" s="5">
        <v>38</v>
      </c>
      <c r="E5" s="4" t="s">
        <v>18</v>
      </c>
      <c r="F5" s="4" t="s">
        <v>31</v>
      </c>
      <c r="G5" s="5">
        <v>50000</v>
      </c>
      <c r="H5" s="5">
        <v>12</v>
      </c>
      <c r="I5" s="4" t="s">
        <v>20</v>
      </c>
    </row>
    <row r="6" spans="1:16" ht="14.25" customHeight="1" x14ac:dyDescent="0.3">
      <c r="A6" s="4">
        <v>4014</v>
      </c>
      <c r="B6" s="4" t="s">
        <v>32</v>
      </c>
      <c r="C6" s="4" t="s">
        <v>33</v>
      </c>
      <c r="D6" s="5">
        <v>29</v>
      </c>
      <c r="E6" s="4" t="s">
        <v>23</v>
      </c>
      <c r="F6" s="4" t="s">
        <v>34</v>
      </c>
      <c r="G6" s="5">
        <v>45000</v>
      </c>
      <c r="H6" s="5">
        <v>5</v>
      </c>
      <c r="I6" s="4" t="s">
        <v>35</v>
      </c>
    </row>
    <row r="7" spans="1:16" ht="14.25" customHeight="1" x14ac:dyDescent="0.3">
      <c r="A7" s="4">
        <v>4015</v>
      </c>
      <c r="B7" s="4" t="s">
        <v>36</v>
      </c>
      <c r="C7" s="4" t="s">
        <v>37</v>
      </c>
      <c r="D7" s="5">
        <v>32</v>
      </c>
      <c r="E7" s="4" t="s">
        <v>23</v>
      </c>
      <c r="F7" s="4" t="s">
        <v>38</v>
      </c>
      <c r="G7" s="5">
        <v>62000</v>
      </c>
      <c r="H7" s="5">
        <v>10</v>
      </c>
      <c r="I7" s="4" t="s">
        <v>39</v>
      </c>
    </row>
    <row r="8" spans="1:16" ht="14.25" customHeight="1" x14ac:dyDescent="0.3">
      <c r="A8" s="4">
        <v>4016</v>
      </c>
      <c r="B8" s="4" t="s">
        <v>40</v>
      </c>
      <c r="C8" s="4" t="s">
        <v>41</v>
      </c>
      <c r="D8" s="5">
        <v>40</v>
      </c>
      <c r="E8" s="4" t="s">
        <v>18</v>
      </c>
      <c r="F8" s="4" t="s">
        <v>42</v>
      </c>
      <c r="G8" s="5">
        <v>58000</v>
      </c>
      <c r="H8" s="5">
        <v>15</v>
      </c>
      <c r="I8" s="4" t="s">
        <v>20</v>
      </c>
    </row>
    <row r="9" spans="1:16" ht="14.25" customHeight="1" x14ac:dyDescent="0.3">
      <c r="A9" s="4">
        <v>4017</v>
      </c>
      <c r="B9" s="4" t="s">
        <v>43</v>
      </c>
      <c r="C9" s="4" t="s">
        <v>44</v>
      </c>
      <c r="D9" s="5">
        <v>35</v>
      </c>
      <c r="E9" s="4" t="s">
        <v>23</v>
      </c>
      <c r="F9" s="4" t="s">
        <v>45</v>
      </c>
      <c r="G9" s="5">
        <v>54000</v>
      </c>
      <c r="H9" s="5">
        <v>9</v>
      </c>
      <c r="I9" s="4" t="s">
        <v>25</v>
      </c>
    </row>
    <row r="10" spans="1:16" ht="14.25" customHeight="1" x14ac:dyDescent="0.3">
      <c r="A10" s="4">
        <v>4018</v>
      </c>
      <c r="B10" s="4" t="s">
        <v>46</v>
      </c>
      <c r="C10" s="4" t="s">
        <v>47</v>
      </c>
      <c r="D10" s="5">
        <v>48</v>
      </c>
      <c r="E10" s="4" t="s">
        <v>18</v>
      </c>
      <c r="F10" s="4" t="s">
        <v>48</v>
      </c>
      <c r="G10" s="5">
        <v>61000</v>
      </c>
      <c r="H10" s="5">
        <v>22</v>
      </c>
      <c r="I10" s="4" t="s">
        <v>20</v>
      </c>
    </row>
    <row r="11" spans="1:16" ht="14.25" customHeight="1" x14ac:dyDescent="0.3">
      <c r="A11" s="4">
        <v>4019</v>
      </c>
      <c r="B11" s="4" t="s">
        <v>49</v>
      </c>
      <c r="C11" s="4" t="s">
        <v>50</v>
      </c>
      <c r="D11" s="5">
        <v>39</v>
      </c>
      <c r="E11" s="4" t="s">
        <v>18</v>
      </c>
      <c r="F11" s="4" t="s">
        <v>51</v>
      </c>
      <c r="G11" s="5">
        <v>56000</v>
      </c>
      <c r="H11" s="5">
        <v>13</v>
      </c>
      <c r="I11" s="4" t="s">
        <v>35</v>
      </c>
    </row>
    <row r="12" spans="1:16" ht="14.25" customHeight="1" x14ac:dyDescent="0.3">
      <c r="A12" s="4">
        <v>4020</v>
      </c>
      <c r="B12" s="4" t="s">
        <v>52</v>
      </c>
      <c r="C12" s="4" t="s">
        <v>53</v>
      </c>
      <c r="D12" s="5">
        <v>29</v>
      </c>
      <c r="E12" s="4" t="s">
        <v>23</v>
      </c>
      <c r="F12" s="4" t="s">
        <v>54</v>
      </c>
      <c r="G12" s="5">
        <v>48000</v>
      </c>
      <c r="H12" s="5">
        <v>6</v>
      </c>
      <c r="I12" s="4" t="s">
        <v>39</v>
      </c>
    </row>
    <row r="13" spans="1:16" ht="14.25" customHeight="1" x14ac:dyDescent="0.3">
      <c r="A13" s="4">
        <v>4021</v>
      </c>
      <c r="B13" s="4" t="s">
        <v>55</v>
      </c>
      <c r="C13" s="4" t="s">
        <v>56</v>
      </c>
      <c r="D13" s="5">
        <v>33</v>
      </c>
      <c r="E13" s="4" t="s">
        <v>23</v>
      </c>
      <c r="F13" s="4" t="s">
        <v>57</v>
      </c>
      <c r="G13" s="5">
        <v>53000</v>
      </c>
      <c r="H13" s="5">
        <v>14</v>
      </c>
      <c r="I13" s="4" t="s">
        <v>25</v>
      </c>
    </row>
    <row r="14" spans="1:16" ht="14.25" customHeight="1" x14ac:dyDescent="0.3">
      <c r="A14" s="4">
        <v>4022</v>
      </c>
      <c r="B14" s="4" t="s">
        <v>58</v>
      </c>
      <c r="C14" s="4" t="s">
        <v>59</v>
      </c>
      <c r="D14" s="5">
        <v>55</v>
      </c>
      <c r="E14" s="4" t="s">
        <v>18</v>
      </c>
      <c r="F14" s="4" t="s">
        <v>60</v>
      </c>
      <c r="G14" s="5">
        <v>67000</v>
      </c>
      <c r="H14" s="5">
        <v>28</v>
      </c>
      <c r="I14" s="4" t="s">
        <v>20</v>
      </c>
    </row>
    <row r="15" spans="1:16" ht="14.25" customHeight="1" x14ac:dyDescent="0.3">
      <c r="A15" s="4">
        <v>4023</v>
      </c>
      <c r="B15" s="4" t="s">
        <v>61</v>
      </c>
      <c r="C15" s="4" t="s">
        <v>62</v>
      </c>
      <c r="D15" s="5">
        <v>42</v>
      </c>
      <c r="E15" s="4" t="s">
        <v>23</v>
      </c>
      <c r="F15" s="4" t="s">
        <v>63</v>
      </c>
      <c r="G15" s="5">
        <v>52000</v>
      </c>
      <c r="H15" s="5">
        <v>11</v>
      </c>
      <c r="I15" s="4" t="s">
        <v>39</v>
      </c>
    </row>
    <row r="16" spans="1:16" ht="14.25" customHeight="1" x14ac:dyDescent="0.3">
      <c r="A16" s="4">
        <v>4024</v>
      </c>
      <c r="B16" s="4" t="s">
        <v>64</v>
      </c>
      <c r="C16" s="4" t="s">
        <v>65</v>
      </c>
      <c r="D16" s="5">
        <v>31</v>
      </c>
      <c r="E16" s="4" t="s">
        <v>23</v>
      </c>
      <c r="F16" s="4" t="s">
        <v>66</v>
      </c>
      <c r="G16" s="5">
        <v>49000</v>
      </c>
      <c r="H16" s="5">
        <v>7</v>
      </c>
      <c r="I16" s="4" t="s">
        <v>35</v>
      </c>
    </row>
    <row r="17" spans="1:9" ht="14.25" customHeight="1" x14ac:dyDescent="0.3">
      <c r="A17" s="4">
        <v>4025</v>
      </c>
      <c r="B17" s="4" t="s">
        <v>67</v>
      </c>
      <c r="C17" s="4" t="s">
        <v>44</v>
      </c>
      <c r="D17" s="5">
        <v>34</v>
      </c>
      <c r="E17" s="4" t="s">
        <v>18</v>
      </c>
      <c r="F17" s="4" t="s">
        <v>68</v>
      </c>
      <c r="G17" s="5">
        <v>60000</v>
      </c>
      <c r="H17" s="5">
        <v>16</v>
      </c>
      <c r="I17" s="4" t="s">
        <v>20</v>
      </c>
    </row>
    <row r="18" spans="1:9" ht="14.25" customHeight="1" x14ac:dyDescent="0.3">
      <c r="A18" s="4">
        <v>4026</v>
      </c>
      <c r="B18" s="4" t="s">
        <v>69</v>
      </c>
      <c r="C18" s="4" t="s">
        <v>70</v>
      </c>
      <c r="D18" s="5">
        <v>41</v>
      </c>
      <c r="E18" s="4" t="s">
        <v>23</v>
      </c>
      <c r="F18" s="4" t="s">
        <v>71</v>
      </c>
      <c r="G18" s="5">
        <v>57000</v>
      </c>
      <c r="H18" s="5">
        <v>19</v>
      </c>
      <c r="I18" s="4" t="s">
        <v>25</v>
      </c>
    </row>
    <row r="19" spans="1:9" ht="14.25" customHeight="1" x14ac:dyDescent="0.3">
      <c r="A19" s="4">
        <v>4027</v>
      </c>
      <c r="B19" s="4" t="s">
        <v>72</v>
      </c>
      <c r="C19" s="4" t="s">
        <v>33</v>
      </c>
      <c r="D19" s="5">
        <v>39</v>
      </c>
      <c r="E19" s="4" t="s">
        <v>18</v>
      </c>
      <c r="F19" s="4" t="s">
        <v>73</v>
      </c>
      <c r="G19" s="5">
        <v>61000</v>
      </c>
      <c r="H19" s="5">
        <v>12</v>
      </c>
      <c r="I19" s="4" t="s">
        <v>39</v>
      </c>
    </row>
    <row r="20" spans="1:9" ht="14.25" customHeight="1" x14ac:dyDescent="0.3">
      <c r="A20" s="4">
        <v>4028</v>
      </c>
      <c r="B20" s="4" t="s">
        <v>74</v>
      </c>
      <c r="C20" s="4" t="s">
        <v>75</v>
      </c>
      <c r="D20" s="5">
        <v>47</v>
      </c>
      <c r="E20" s="4" t="s">
        <v>23</v>
      </c>
      <c r="F20" s="4" t="s">
        <v>76</v>
      </c>
      <c r="G20" s="5">
        <v>59000</v>
      </c>
      <c r="H20" s="5">
        <v>23</v>
      </c>
      <c r="I20" s="4" t="s">
        <v>20</v>
      </c>
    </row>
    <row r="21" spans="1:9" ht="14.25" customHeight="1" x14ac:dyDescent="0.3">
      <c r="A21" s="4">
        <v>4029</v>
      </c>
      <c r="B21" s="4" t="s">
        <v>77</v>
      </c>
      <c r="C21" s="4" t="s">
        <v>78</v>
      </c>
      <c r="D21" s="5">
        <v>50</v>
      </c>
      <c r="E21" s="4" t="s">
        <v>18</v>
      </c>
      <c r="F21" s="4" t="s">
        <v>79</v>
      </c>
      <c r="G21" s="5">
        <v>65000</v>
      </c>
      <c r="H21" s="5">
        <v>30</v>
      </c>
      <c r="I21" s="4" t="s">
        <v>20</v>
      </c>
    </row>
    <row r="22" spans="1:9" ht="14.25" customHeight="1" x14ac:dyDescent="0.3"/>
    <row r="23" spans="1:9" ht="14.25" customHeight="1" x14ac:dyDescent="0.3"/>
    <row r="24" spans="1:9" ht="14.25" customHeight="1" x14ac:dyDescent="0.3"/>
    <row r="25" spans="1:9" ht="14.25" customHeight="1" x14ac:dyDescent="0.3"/>
    <row r="26" spans="1:9" ht="14.25" customHeight="1" x14ac:dyDescent="0.3"/>
    <row r="27" spans="1:9" ht="14.25" customHeight="1" x14ac:dyDescent="0.3"/>
    <row r="28" spans="1:9" ht="14.25" customHeight="1" x14ac:dyDescent="0.3"/>
    <row r="29" spans="1:9" ht="14.25" customHeight="1" x14ac:dyDescent="0.3"/>
    <row r="30" spans="1:9" ht="14.25" customHeight="1" x14ac:dyDescent="0.3"/>
    <row r="31" spans="1:9" ht="14.25" customHeight="1" x14ac:dyDescent="0.3"/>
    <row r="32" spans="1:9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 - Max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mohamed gamal</cp:lastModifiedBy>
  <dcterms:created xsi:type="dcterms:W3CDTF">2015-06-05T18:17:20Z</dcterms:created>
  <dcterms:modified xsi:type="dcterms:W3CDTF">2026-01-05T13:26:49Z</dcterms:modified>
</cp:coreProperties>
</file>
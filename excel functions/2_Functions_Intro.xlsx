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B58C08E-B642-44DA-971D-2137BDE00D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un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72FunWmwYuRYXP0f5tlmFIDCWLokZrjFrT8XCFNfuGQ="/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" i="1"/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" i="1"/>
</calcChain>
</file>

<file path=xl/sharedStrings.xml><?xml version="1.0" encoding="utf-8"?>
<sst xmlns="http://schemas.openxmlformats.org/spreadsheetml/2006/main" count="218" uniqueCount="136">
  <si>
    <t>Formulas Homework: E-commerce Analysis</t>
  </si>
  <si>
    <t>Task Instructions:</t>
  </si>
  <si>
    <t>Transaction ID</t>
  </si>
  <si>
    <t>Customer ID</t>
  </si>
  <si>
    <t>Product Category</t>
  </si>
  <si>
    <t>Units Sold</t>
  </si>
  <si>
    <t>Price per Unit ($)</t>
  </si>
  <si>
    <t>Total Revenue ($)</t>
  </si>
  <si>
    <t>Discount Rate (%)</t>
  </si>
  <si>
    <t>Discount Amount ($)</t>
  </si>
  <si>
    <t>Net Revenue ($)</t>
  </si>
  <si>
    <t>High Revenue?</t>
  </si>
  <si>
    <t>1. Calculate Total Revenue (Units Sold * Price per Unit) for each transaction.</t>
  </si>
  <si>
    <t>TRANS-1</t>
  </si>
  <si>
    <t>CUST-9223</t>
  </si>
  <si>
    <t>Books</t>
  </si>
  <si>
    <t>0.08</t>
  </si>
  <si>
    <t>2. Calculate the Discount Amount (Total Revenue * Discount Rate).</t>
  </si>
  <si>
    <t>TRANS-2</t>
  </si>
  <si>
    <t>CUST-2965</t>
  </si>
  <si>
    <t>Clothing</t>
  </si>
  <si>
    <t>0.12</t>
  </si>
  <si>
    <t>3. Calculate the Net Revenue (Total Revenue - Discount Amount).</t>
  </si>
  <si>
    <t>TRANS-3</t>
  </si>
  <si>
    <t>CUST-8125</t>
  </si>
  <si>
    <t>4. Use a logical formula to identify if Net Revenue exceeds $1,000.</t>
  </si>
  <si>
    <t>TRANS-4</t>
  </si>
  <si>
    <t>CUST-8139</t>
  </si>
  <si>
    <t>0.11</t>
  </si>
  <si>
    <t>5. Bonus: Categorize transactions into 'High Revenue' and 'Low Revenue'.</t>
  </si>
  <si>
    <t>TRANS-5</t>
  </si>
  <si>
    <t>CUST-6162</t>
  </si>
  <si>
    <t>0.09</t>
  </si>
  <si>
    <t>TRANS-6</t>
  </si>
  <si>
    <t>CUST-2018</t>
  </si>
  <si>
    <t>Toys</t>
  </si>
  <si>
    <t>TRANS-7</t>
  </si>
  <si>
    <t>CUST-7633</t>
  </si>
  <si>
    <t>Electronics</t>
  </si>
  <si>
    <t>TRANS-8</t>
  </si>
  <si>
    <t>CUST-8933</t>
  </si>
  <si>
    <t>0.05</t>
  </si>
  <si>
    <t>TRANS-9</t>
  </si>
  <si>
    <t>CUST-7331</t>
  </si>
  <si>
    <t>Furniture</t>
  </si>
  <si>
    <t>0.15</t>
  </si>
  <si>
    <t>TRANS-10</t>
  </si>
  <si>
    <t>CUST-8723</t>
  </si>
  <si>
    <t>TRANS-11</t>
  </si>
  <si>
    <t>CUST-5141</t>
  </si>
  <si>
    <t>0.07</t>
  </si>
  <si>
    <t>TRANS-12</t>
  </si>
  <si>
    <t>CUST-4506</t>
  </si>
  <si>
    <t>TRANS-13</t>
  </si>
  <si>
    <t>CUST-9986</t>
  </si>
  <si>
    <t>0.06</t>
  </si>
  <si>
    <t>TRANS-14</t>
  </si>
  <si>
    <t>CUST-4657</t>
  </si>
  <si>
    <t>0.13</t>
  </si>
  <si>
    <t>TRANS-15</t>
  </si>
  <si>
    <t>CUST-7682</t>
  </si>
  <si>
    <t>TRANS-16</t>
  </si>
  <si>
    <t>CUST-8354</t>
  </si>
  <si>
    <t>TRANS-17</t>
  </si>
  <si>
    <t>CUST-6984</t>
  </si>
  <si>
    <t>TRANS-18</t>
  </si>
  <si>
    <t>CUST-8143</t>
  </si>
  <si>
    <t>0.16</t>
  </si>
  <si>
    <t>TRANS-19</t>
  </si>
  <si>
    <t>CUST-5247</t>
  </si>
  <si>
    <t>TRANS-20</t>
  </si>
  <si>
    <t>CUST-6411</t>
  </si>
  <si>
    <t>TRANS-21</t>
  </si>
  <si>
    <t>CUST-7897</t>
  </si>
  <si>
    <t>TRANS-22</t>
  </si>
  <si>
    <t>CUST-6972</t>
  </si>
  <si>
    <t>0.10</t>
  </si>
  <si>
    <t>TRANS-23</t>
  </si>
  <si>
    <t>CUST-8617</t>
  </si>
  <si>
    <t>TRANS-24</t>
  </si>
  <si>
    <t>CUST-8341</t>
  </si>
  <si>
    <t>TRANS-25</t>
  </si>
  <si>
    <t>CUST-8380</t>
  </si>
  <si>
    <t>TRANS-26</t>
  </si>
  <si>
    <t>CUST-2230</t>
  </si>
  <si>
    <t>TRANS-27</t>
  </si>
  <si>
    <t>CUST-1568</t>
  </si>
  <si>
    <t>TRANS-28</t>
  </si>
  <si>
    <t>CUST-7966</t>
  </si>
  <si>
    <t>TRANS-29</t>
  </si>
  <si>
    <t>CUST-5267</t>
  </si>
  <si>
    <t>TRANS-30</t>
  </si>
  <si>
    <t>CUST-2695</t>
  </si>
  <si>
    <t>TRANS-31</t>
  </si>
  <si>
    <t>CUST-2478</t>
  </si>
  <si>
    <t>TRANS-32</t>
  </si>
  <si>
    <t>CUST-8291</t>
  </si>
  <si>
    <t>TRANS-33</t>
  </si>
  <si>
    <t>CUST-9067</t>
  </si>
  <si>
    <t>TRANS-34</t>
  </si>
  <si>
    <t>CUST-2006</t>
  </si>
  <si>
    <t>TRANS-35</t>
  </si>
  <si>
    <t>CUST-1383</t>
  </si>
  <si>
    <t>TRANS-36</t>
  </si>
  <si>
    <t>CUST-9335</t>
  </si>
  <si>
    <t>TRANS-37</t>
  </si>
  <si>
    <t>CUST-7638</t>
  </si>
  <si>
    <t>TRANS-38</t>
  </si>
  <si>
    <t>CUST-8427</t>
  </si>
  <si>
    <t>TRANS-39</t>
  </si>
  <si>
    <t>CUST-4602</t>
  </si>
  <si>
    <t>TRANS-40</t>
  </si>
  <si>
    <t>CUST-4826</t>
  </si>
  <si>
    <t>TRANS-41</t>
  </si>
  <si>
    <t>CUST-1039</t>
  </si>
  <si>
    <t>0.19</t>
  </si>
  <si>
    <t>TRANS-42</t>
  </si>
  <si>
    <t>CUST-2512</t>
  </si>
  <si>
    <t>TRANS-43</t>
  </si>
  <si>
    <t>CUST-5634</t>
  </si>
  <si>
    <t>TRANS-44</t>
  </si>
  <si>
    <t>CUST-1756</t>
  </si>
  <si>
    <t>TRANS-45</t>
  </si>
  <si>
    <t>CUST-5101</t>
  </si>
  <si>
    <t>TRANS-46</t>
  </si>
  <si>
    <t>CUST-2824</t>
  </si>
  <si>
    <t>TRANS-47</t>
  </si>
  <si>
    <t>CUST-1028</t>
  </si>
  <si>
    <t>TRANS-48</t>
  </si>
  <si>
    <t>CUST-1107</t>
  </si>
  <si>
    <t>TRANS-49</t>
  </si>
  <si>
    <t>CUST-2955</t>
  </si>
  <si>
    <t>TRANS-50</t>
  </si>
  <si>
    <t>CUST-1623</t>
  </si>
  <si>
    <t>0.14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</si>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</sst>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20"/>
      <color theme="1"/>
      <name val="Calibri"/>
    </font>
    <font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2" fillId="0" borderId="2" xfId="0" applyFont="1" applyBorder="1"/>
    <xf numFmtId="0" fontId="5" fillId="0" borderId="0" xfId="0" applyFont="1"/>
    <xf numFmtId="10" fontId="5" fillId="0" borderId="0" xfId="0" applyNumberFormat="1" applyFont="1"/>
    <xf numFmtId="0" fontId="2" fillId="0" borderId="3" xfId="0" applyFont="1" applyBorder="1"/>
    <xf numFmtId="0" fontId="2" fillId="0" borderId="4" xfId="0" applyFont="1" applyBorder="1"/>
    <xf numFmtId="0" fontId="1" fillId="0" borderId="0" xfId="0" applyFont="1"/>
    <xf numFmtId="0" fontId="0" fillId="0" borderId="0" xfId="0"/>
    <xf numFmtId="0" fontId="4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C1" workbookViewId="0">
      <selection activeCell="K5" sqref="K5:K54"/>
    </sheetView>
  </sheetViews>
  <sheetFormatPr defaultColWidth="14.44140625" defaultRowHeight="15" customHeight="1" x14ac:dyDescent="0.3"/>
  <cols>
    <col min="1" max="1" width="14.5546875" customWidth="1"/>
    <col min="2" max="2" width="12.5546875" customWidth="1"/>
    <col min="3" max="3" width="17.33203125" customWidth="1"/>
    <col min="4" max="4" width="10.44140625" customWidth="1"/>
    <col min="5" max="5" width="16.88671875" customWidth="1"/>
    <col min="6" max="6" width="17.5546875" customWidth="1"/>
    <col min="7" max="7" width="17.88671875" customWidth="1"/>
    <col min="8" max="8" width="20.5546875" customWidth="1"/>
    <col min="9" max="9" width="16" customWidth="1"/>
    <col min="10" max="10" width="14.88671875" customWidth="1"/>
    <col min="11" max="11" width="11.5546875" bestFit="1" customWidth="1"/>
    <col min="12" max="12" width="63.88671875" customWidth="1"/>
    <col min="13" max="26" width="8.6640625" customWidth="1"/>
  </cols>
  <sheetData>
    <row r="1" spans="1:12" ht="14.25" customHeight="1" x14ac:dyDescent="0.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2" ht="14.25" customHeight="1" x14ac:dyDescent="0.3">
      <c r="A2" s="1"/>
    </row>
    <row r="3" spans="1:12" ht="14.25" customHeight="1" x14ac:dyDescent="0.35">
      <c r="L3" s="2" t="s">
        <v>1</v>
      </c>
    </row>
    <row r="4" spans="1:12" ht="14.2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11" t="s">
        <v>135</v>
      </c>
      <c r="L4" s="4" t="s">
        <v>12</v>
      </c>
    </row>
    <row r="5" spans="1:12" ht="14.25" customHeight="1" x14ac:dyDescent="0.3">
      <c r="A5" s="5" t="s">
        <v>13</v>
      </c>
      <c r="B5" s="5" t="s">
        <v>14</v>
      </c>
      <c r="C5" s="5" t="s">
        <v>15</v>
      </c>
      <c r="D5" s="5">
        <v>13</v>
      </c>
      <c r="E5" s="5">
        <v>494.32</v>
      </c>
      <c r="F5">
        <f>D5*E5</f>
        <v>6426.16</v>
      </c>
      <c r="G5" s="6" t="s">
        <v>16</v>
      </c>
      <c r="H5">
        <f>F5*G5</f>
        <v>514.09280000000001</v>
      </c>
      <c r="I5">
        <f>F5-H5</f>
        <v>5912.0671999999995</v>
      </c>
      <c r="J5" t="b">
        <f>I5&gt;1000</f>
        <v>1</v>
      </c>
      <c r="K5" t="str">
        <f>IF(I5&gt;1000,"High revenue","Low revenue")</f>
        <v>High revenue</v>
      </c>
      <c r="L5" s="7" t="s">
        <v>17</v>
      </c>
    </row>
    <row r="6" spans="1:12" ht="14.25" customHeight="1" x14ac:dyDescent="0.3">
      <c r="A6" s="5" t="s">
        <v>18</v>
      </c>
      <c r="B6" s="5" t="s">
        <v>19</v>
      </c>
      <c r="C6" s="5" t="s">
        <v>20</v>
      </c>
      <c r="D6" s="5">
        <v>34</v>
      </c>
      <c r="E6" s="5">
        <v>209.55</v>
      </c>
      <c r="F6">
        <f t="shared" ref="F6:F54" si="0">D6*E6</f>
        <v>7124.7000000000007</v>
      </c>
      <c r="G6" s="6" t="s">
        <v>21</v>
      </c>
      <c r="H6">
        <f t="shared" ref="H6:H54" si="1">F6*G6</f>
        <v>854.96400000000006</v>
      </c>
      <c r="I6">
        <f t="shared" ref="I6:I54" si="2">F6-H6</f>
        <v>6269.7360000000008</v>
      </c>
      <c r="J6" t="b">
        <f t="shared" ref="J6:J54" si="3">I6&gt;1000</f>
        <v>1</v>
      </c>
      <c r="K6" t="str">
        <f t="shared" ref="K6:K54" si="4">IF(I6&gt;1000,"High revenue","Low revenue")</f>
        <v>High revenue</v>
      </c>
      <c r="L6" s="7" t="s">
        <v>22</v>
      </c>
    </row>
    <row r="7" spans="1:12" ht="14.25" customHeight="1" x14ac:dyDescent="0.3">
      <c r="A7" s="5" t="s">
        <v>23</v>
      </c>
      <c r="B7" s="5" t="s">
        <v>24</v>
      </c>
      <c r="C7" s="5" t="s">
        <v>20</v>
      </c>
      <c r="D7" s="5">
        <v>38</v>
      </c>
      <c r="E7" s="5">
        <v>54.75</v>
      </c>
      <c r="F7">
        <f t="shared" si="0"/>
        <v>2080.5</v>
      </c>
      <c r="G7" s="6" t="s">
        <v>21</v>
      </c>
      <c r="H7">
        <f t="shared" si="1"/>
        <v>249.66</v>
      </c>
      <c r="I7">
        <f t="shared" si="2"/>
        <v>1830.84</v>
      </c>
      <c r="J7" t="b">
        <f t="shared" si="3"/>
        <v>1</v>
      </c>
      <c r="K7" t="str">
        <f t="shared" si="4"/>
        <v>High revenue</v>
      </c>
      <c r="L7" s="7" t="s">
        <v>25</v>
      </c>
    </row>
    <row r="8" spans="1:12" ht="14.25" customHeight="1" x14ac:dyDescent="0.3">
      <c r="A8" s="5" t="s">
        <v>26</v>
      </c>
      <c r="B8" s="5" t="s">
        <v>27</v>
      </c>
      <c r="C8" s="5" t="s">
        <v>20</v>
      </c>
      <c r="D8" s="5">
        <v>33</v>
      </c>
      <c r="E8" s="5">
        <v>74.25</v>
      </c>
      <c r="F8">
        <f t="shared" si="0"/>
        <v>2450.25</v>
      </c>
      <c r="G8" s="6" t="s">
        <v>28</v>
      </c>
      <c r="H8">
        <f t="shared" si="1"/>
        <v>269.52749999999997</v>
      </c>
      <c r="I8">
        <f t="shared" si="2"/>
        <v>2180.7224999999999</v>
      </c>
      <c r="J8" t="b">
        <f t="shared" si="3"/>
        <v>1</v>
      </c>
      <c r="K8" t="str">
        <f t="shared" si="4"/>
        <v>High revenue</v>
      </c>
      <c r="L8" s="8" t="s">
        <v>29</v>
      </c>
    </row>
    <row r="9" spans="1:12" ht="14.25" customHeight="1" x14ac:dyDescent="0.3">
      <c r="A9" s="5" t="s">
        <v>30</v>
      </c>
      <c r="B9" s="5" t="s">
        <v>31</v>
      </c>
      <c r="C9" s="5" t="s">
        <v>15</v>
      </c>
      <c r="D9" s="5">
        <v>33</v>
      </c>
      <c r="E9" s="5">
        <v>200.45</v>
      </c>
      <c r="F9">
        <f t="shared" si="0"/>
        <v>6614.8499999999995</v>
      </c>
      <c r="G9" s="6" t="s">
        <v>32</v>
      </c>
      <c r="H9">
        <f t="shared" si="1"/>
        <v>595.33649999999989</v>
      </c>
      <c r="I9">
        <f t="shared" si="2"/>
        <v>6019.5134999999991</v>
      </c>
      <c r="J9" t="b">
        <f t="shared" si="3"/>
        <v>1</v>
      </c>
      <c r="K9" t="str">
        <f t="shared" si="4"/>
        <v>High revenue</v>
      </c>
    </row>
    <row r="10" spans="1:12" ht="14.25" customHeight="1" x14ac:dyDescent="0.3">
      <c r="A10" s="5" t="s">
        <v>33</v>
      </c>
      <c r="B10" s="5" t="s">
        <v>34</v>
      </c>
      <c r="C10" s="5" t="s">
        <v>35</v>
      </c>
      <c r="D10" s="5">
        <v>7</v>
      </c>
      <c r="E10" s="5">
        <v>208.03</v>
      </c>
      <c r="F10">
        <f t="shared" si="0"/>
        <v>1456.21</v>
      </c>
      <c r="G10" s="6" t="s">
        <v>28</v>
      </c>
      <c r="H10">
        <f t="shared" si="1"/>
        <v>160.1831</v>
      </c>
      <c r="I10">
        <f t="shared" si="2"/>
        <v>1296.0269000000001</v>
      </c>
      <c r="J10" t="b">
        <f t="shared" si="3"/>
        <v>1</v>
      </c>
      <c r="K10" t="str">
        <f t="shared" si="4"/>
        <v>High revenue</v>
      </c>
    </row>
    <row r="11" spans="1:12" ht="14.25" customHeight="1" x14ac:dyDescent="0.3">
      <c r="A11" s="5" t="s">
        <v>36</v>
      </c>
      <c r="B11" s="5" t="s">
        <v>37</v>
      </c>
      <c r="C11" s="5" t="s">
        <v>38</v>
      </c>
      <c r="D11" s="5">
        <v>50</v>
      </c>
      <c r="E11" s="5">
        <v>128.41</v>
      </c>
      <c r="F11">
        <f t="shared" si="0"/>
        <v>6420.5</v>
      </c>
      <c r="G11" s="6" t="s">
        <v>21</v>
      </c>
      <c r="H11">
        <f t="shared" si="1"/>
        <v>770.45999999999992</v>
      </c>
      <c r="I11">
        <f t="shared" si="2"/>
        <v>5650.04</v>
      </c>
      <c r="J11" t="b">
        <f t="shared" si="3"/>
        <v>1</v>
      </c>
      <c r="K11" t="str">
        <f t="shared" si="4"/>
        <v>High revenue</v>
      </c>
    </row>
    <row r="12" spans="1:12" ht="14.25" customHeight="1" x14ac:dyDescent="0.3">
      <c r="A12" s="5" t="s">
        <v>39</v>
      </c>
      <c r="B12" s="5" t="s">
        <v>40</v>
      </c>
      <c r="C12" s="5" t="s">
        <v>15</v>
      </c>
      <c r="D12" s="5">
        <v>13</v>
      </c>
      <c r="E12" s="5">
        <v>472</v>
      </c>
      <c r="F12">
        <f t="shared" si="0"/>
        <v>6136</v>
      </c>
      <c r="G12" s="6" t="s">
        <v>41</v>
      </c>
      <c r="H12">
        <f t="shared" si="1"/>
        <v>306.8</v>
      </c>
      <c r="I12">
        <f t="shared" si="2"/>
        <v>5829.2</v>
      </c>
      <c r="J12" t="b">
        <f t="shared" si="3"/>
        <v>1</v>
      </c>
      <c r="K12" t="str">
        <f t="shared" si="4"/>
        <v>High revenue</v>
      </c>
    </row>
    <row r="13" spans="1:12" ht="14.25" customHeight="1" x14ac:dyDescent="0.3">
      <c r="A13" s="5" t="s">
        <v>42</v>
      </c>
      <c r="B13" s="5" t="s">
        <v>43</v>
      </c>
      <c r="C13" s="5" t="s">
        <v>44</v>
      </c>
      <c r="D13" s="5">
        <v>11</v>
      </c>
      <c r="E13" s="5">
        <v>221.76</v>
      </c>
      <c r="F13">
        <f t="shared" si="0"/>
        <v>2439.3599999999997</v>
      </c>
      <c r="G13" s="6" t="s">
        <v>45</v>
      </c>
      <c r="H13">
        <f t="shared" si="1"/>
        <v>365.90399999999994</v>
      </c>
      <c r="I13">
        <f t="shared" si="2"/>
        <v>2073.4559999999997</v>
      </c>
      <c r="J13" t="b">
        <f t="shared" si="3"/>
        <v>1</v>
      </c>
      <c r="K13" t="str">
        <f t="shared" si="4"/>
        <v>High revenue</v>
      </c>
    </row>
    <row r="14" spans="1:12" ht="14.25" customHeight="1" x14ac:dyDescent="0.3">
      <c r="A14" s="5" t="s">
        <v>46</v>
      </c>
      <c r="B14" s="5" t="s">
        <v>47</v>
      </c>
      <c r="C14" s="5" t="s">
        <v>15</v>
      </c>
      <c r="D14" s="5">
        <v>16</v>
      </c>
      <c r="E14" s="5">
        <v>145.96</v>
      </c>
      <c r="F14">
        <f t="shared" si="0"/>
        <v>2335.36</v>
      </c>
      <c r="G14" s="6" t="s">
        <v>32</v>
      </c>
      <c r="H14">
        <f t="shared" si="1"/>
        <v>210.1824</v>
      </c>
      <c r="I14">
        <f t="shared" si="2"/>
        <v>2125.1776</v>
      </c>
      <c r="J14" t="b">
        <f t="shared" si="3"/>
        <v>1</v>
      </c>
      <c r="K14" t="str">
        <f t="shared" si="4"/>
        <v>High revenue</v>
      </c>
    </row>
    <row r="15" spans="1:12" ht="14.25" customHeight="1" x14ac:dyDescent="0.3">
      <c r="A15" s="5" t="s">
        <v>48</v>
      </c>
      <c r="B15" s="5" t="s">
        <v>49</v>
      </c>
      <c r="C15" s="5" t="s">
        <v>38</v>
      </c>
      <c r="D15" s="5">
        <v>16</v>
      </c>
      <c r="E15" s="5">
        <v>91.77</v>
      </c>
      <c r="F15">
        <f t="shared" si="0"/>
        <v>1468.32</v>
      </c>
      <c r="G15" s="6" t="s">
        <v>50</v>
      </c>
      <c r="H15">
        <f t="shared" si="1"/>
        <v>102.78240000000001</v>
      </c>
      <c r="I15">
        <f t="shared" si="2"/>
        <v>1365.5375999999999</v>
      </c>
      <c r="J15" t="b">
        <f t="shared" si="3"/>
        <v>1</v>
      </c>
      <c r="K15" t="str">
        <f t="shared" si="4"/>
        <v>High revenue</v>
      </c>
    </row>
    <row r="16" spans="1:12" ht="14.25" customHeight="1" x14ac:dyDescent="0.3">
      <c r="A16" s="5" t="s">
        <v>51</v>
      </c>
      <c r="B16" s="5" t="s">
        <v>52</v>
      </c>
      <c r="C16" s="5" t="s">
        <v>35</v>
      </c>
      <c r="D16" s="5">
        <v>28</v>
      </c>
      <c r="E16" s="5">
        <v>370.47</v>
      </c>
      <c r="F16">
        <f t="shared" si="0"/>
        <v>10373.16</v>
      </c>
      <c r="G16" s="6" t="s">
        <v>50</v>
      </c>
      <c r="H16">
        <f t="shared" si="1"/>
        <v>726.12120000000004</v>
      </c>
      <c r="I16">
        <f t="shared" si="2"/>
        <v>9647.0388000000003</v>
      </c>
      <c r="J16" t="b">
        <f t="shared" si="3"/>
        <v>1</v>
      </c>
      <c r="K16" t="str">
        <f t="shared" si="4"/>
        <v>High revenue</v>
      </c>
    </row>
    <row r="17" spans="1:11" ht="14.25" customHeight="1" x14ac:dyDescent="0.3">
      <c r="A17" s="5" t="s">
        <v>53</v>
      </c>
      <c r="B17" s="5" t="s">
        <v>54</v>
      </c>
      <c r="C17" s="5" t="s">
        <v>15</v>
      </c>
      <c r="D17" s="5">
        <v>30</v>
      </c>
      <c r="E17" s="5">
        <v>242.86</v>
      </c>
      <c r="F17">
        <f t="shared" si="0"/>
        <v>7285.8</v>
      </c>
      <c r="G17" s="6" t="s">
        <v>55</v>
      </c>
      <c r="H17">
        <f t="shared" si="1"/>
        <v>437.14799999999997</v>
      </c>
      <c r="I17">
        <f t="shared" si="2"/>
        <v>6848.652</v>
      </c>
      <c r="J17" t="b">
        <f t="shared" si="3"/>
        <v>1</v>
      </c>
      <c r="K17" t="str">
        <f t="shared" si="4"/>
        <v>High revenue</v>
      </c>
    </row>
    <row r="18" spans="1:11" ht="14.25" customHeight="1" x14ac:dyDescent="0.3">
      <c r="A18" s="5" t="s">
        <v>56</v>
      </c>
      <c r="B18" s="5" t="s">
        <v>57</v>
      </c>
      <c r="C18" s="5" t="s">
        <v>20</v>
      </c>
      <c r="D18" s="5">
        <v>28</v>
      </c>
      <c r="E18" s="5">
        <v>412.3</v>
      </c>
      <c r="F18">
        <f t="shared" si="0"/>
        <v>11544.4</v>
      </c>
      <c r="G18" s="6" t="s">
        <v>58</v>
      </c>
      <c r="H18">
        <f t="shared" si="1"/>
        <v>1500.7719999999999</v>
      </c>
      <c r="I18">
        <f t="shared" si="2"/>
        <v>10043.628000000001</v>
      </c>
      <c r="J18" t="b">
        <f t="shared" si="3"/>
        <v>1</v>
      </c>
      <c r="K18" t="str">
        <f t="shared" si="4"/>
        <v>High revenue</v>
      </c>
    </row>
    <row r="19" spans="1:11" ht="14.25" customHeight="1" x14ac:dyDescent="0.3">
      <c r="A19" s="5" t="s">
        <v>59</v>
      </c>
      <c r="B19" s="5" t="s">
        <v>60</v>
      </c>
      <c r="C19" s="5" t="s">
        <v>15</v>
      </c>
      <c r="D19" s="5">
        <v>3</v>
      </c>
      <c r="E19" s="5">
        <v>103.8</v>
      </c>
      <c r="F19">
        <f t="shared" si="0"/>
        <v>311.39999999999998</v>
      </c>
      <c r="G19" s="6" t="s">
        <v>16</v>
      </c>
      <c r="H19">
        <f t="shared" si="1"/>
        <v>24.911999999999999</v>
      </c>
      <c r="I19">
        <f t="shared" si="2"/>
        <v>286.488</v>
      </c>
      <c r="J19" t="b">
        <f t="shared" si="3"/>
        <v>0</v>
      </c>
      <c r="K19" t="str">
        <f t="shared" si="4"/>
        <v>Low revenue</v>
      </c>
    </row>
    <row r="20" spans="1:11" ht="14.25" customHeight="1" x14ac:dyDescent="0.3">
      <c r="A20" s="5" t="s">
        <v>61</v>
      </c>
      <c r="B20" s="5" t="s">
        <v>62</v>
      </c>
      <c r="C20" s="5" t="s">
        <v>38</v>
      </c>
      <c r="D20" s="5">
        <v>7</v>
      </c>
      <c r="E20" s="5">
        <v>180.45</v>
      </c>
      <c r="F20">
        <f t="shared" si="0"/>
        <v>1263.1499999999999</v>
      </c>
      <c r="G20" s="6" t="s">
        <v>32</v>
      </c>
      <c r="H20">
        <f t="shared" si="1"/>
        <v>113.68349999999998</v>
      </c>
      <c r="I20">
        <f t="shared" si="2"/>
        <v>1149.4665</v>
      </c>
      <c r="J20" t="b">
        <f t="shared" si="3"/>
        <v>1</v>
      </c>
      <c r="K20" t="str">
        <f t="shared" si="4"/>
        <v>High revenue</v>
      </c>
    </row>
    <row r="21" spans="1:11" ht="14.25" customHeight="1" x14ac:dyDescent="0.3">
      <c r="A21" s="5" t="s">
        <v>63</v>
      </c>
      <c r="B21" s="5" t="s">
        <v>64</v>
      </c>
      <c r="C21" s="5" t="s">
        <v>38</v>
      </c>
      <c r="D21" s="5">
        <v>10</v>
      </c>
      <c r="E21" s="5">
        <v>498.02</v>
      </c>
      <c r="F21">
        <f t="shared" si="0"/>
        <v>4980.2</v>
      </c>
      <c r="G21" s="6" t="s">
        <v>16</v>
      </c>
      <c r="H21">
        <f t="shared" si="1"/>
        <v>398.416</v>
      </c>
      <c r="I21">
        <f t="shared" si="2"/>
        <v>4581.7839999999997</v>
      </c>
      <c r="J21" t="b">
        <f t="shared" si="3"/>
        <v>1</v>
      </c>
      <c r="K21" t="str">
        <f t="shared" si="4"/>
        <v>High revenue</v>
      </c>
    </row>
    <row r="22" spans="1:11" ht="14.25" customHeight="1" x14ac:dyDescent="0.3">
      <c r="A22" s="5" t="s">
        <v>65</v>
      </c>
      <c r="B22" s="5" t="s">
        <v>66</v>
      </c>
      <c r="C22" s="5" t="s">
        <v>20</v>
      </c>
      <c r="D22" s="5">
        <v>17</v>
      </c>
      <c r="E22" s="5">
        <v>319.14</v>
      </c>
      <c r="F22">
        <f t="shared" si="0"/>
        <v>5425.38</v>
      </c>
      <c r="G22" s="6" t="s">
        <v>67</v>
      </c>
      <c r="H22">
        <f t="shared" si="1"/>
        <v>868.06080000000009</v>
      </c>
      <c r="I22">
        <f t="shared" si="2"/>
        <v>4557.3191999999999</v>
      </c>
      <c r="J22" t="b">
        <f t="shared" si="3"/>
        <v>1</v>
      </c>
      <c r="K22" t="str">
        <f t="shared" si="4"/>
        <v>High revenue</v>
      </c>
    </row>
    <row r="23" spans="1:11" ht="14.25" customHeight="1" x14ac:dyDescent="0.3">
      <c r="A23" s="5" t="s">
        <v>68</v>
      </c>
      <c r="B23" s="5" t="s">
        <v>69</v>
      </c>
      <c r="C23" s="5" t="s">
        <v>44</v>
      </c>
      <c r="D23" s="5">
        <v>5</v>
      </c>
      <c r="E23" s="5">
        <v>227.59</v>
      </c>
      <c r="F23">
        <f t="shared" si="0"/>
        <v>1137.95</v>
      </c>
      <c r="G23" s="6" t="s">
        <v>55</v>
      </c>
      <c r="H23">
        <f t="shared" si="1"/>
        <v>68.277000000000001</v>
      </c>
      <c r="I23">
        <f t="shared" si="2"/>
        <v>1069.673</v>
      </c>
      <c r="J23" t="b">
        <f t="shared" si="3"/>
        <v>1</v>
      </c>
      <c r="K23" t="str">
        <f t="shared" si="4"/>
        <v>High revenue</v>
      </c>
    </row>
    <row r="24" spans="1:11" ht="14.25" customHeight="1" x14ac:dyDescent="0.3">
      <c r="A24" s="5" t="s">
        <v>70</v>
      </c>
      <c r="B24" s="5" t="s">
        <v>71</v>
      </c>
      <c r="C24" s="5" t="s">
        <v>15</v>
      </c>
      <c r="D24" s="5">
        <v>30</v>
      </c>
      <c r="E24" s="5">
        <v>131.97999999999999</v>
      </c>
      <c r="F24">
        <f t="shared" si="0"/>
        <v>3959.3999999999996</v>
      </c>
      <c r="G24" s="6" t="s">
        <v>55</v>
      </c>
      <c r="H24">
        <f t="shared" si="1"/>
        <v>237.56399999999996</v>
      </c>
      <c r="I24">
        <f t="shared" si="2"/>
        <v>3721.8359999999998</v>
      </c>
      <c r="J24" t="b">
        <f t="shared" si="3"/>
        <v>1</v>
      </c>
      <c r="K24" t="str">
        <f t="shared" si="4"/>
        <v>High revenue</v>
      </c>
    </row>
    <row r="25" spans="1:11" ht="14.25" customHeight="1" x14ac:dyDescent="0.3">
      <c r="A25" s="5" t="s">
        <v>72</v>
      </c>
      <c r="B25" s="5" t="s">
        <v>73</v>
      </c>
      <c r="C25" s="5" t="s">
        <v>44</v>
      </c>
      <c r="D25" s="5">
        <v>45</v>
      </c>
      <c r="E25" s="5">
        <v>360.14</v>
      </c>
      <c r="F25">
        <f t="shared" si="0"/>
        <v>16206.3</v>
      </c>
      <c r="G25" s="6" t="s">
        <v>32</v>
      </c>
      <c r="H25">
        <f t="shared" si="1"/>
        <v>1458.5669999999998</v>
      </c>
      <c r="I25">
        <f t="shared" si="2"/>
        <v>14747.733</v>
      </c>
      <c r="J25" t="b">
        <f t="shared" si="3"/>
        <v>1</v>
      </c>
      <c r="K25" t="str">
        <f t="shared" si="4"/>
        <v>High revenue</v>
      </c>
    </row>
    <row r="26" spans="1:11" ht="14.25" customHeight="1" x14ac:dyDescent="0.3">
      <c r="A26" s="5" t="s">
        <v>74</v>
      </c>
      <c r="B26" s="5" t="s">
        <v>75</v>
      </c>
      <c r="C26" s="5" t="s">
        <v>44</v>
      </c>
      <c r="D26" s="5">
        <v>23</v>
      </c>
      <c r="E26" s="5">
        <v>277.05</v>
      </c>
      <c r="F26">
        <f t="shared" si="0"/>
        <v>6372.1500000000005</v>
      </c>
      <c r="G26" s="6" t="s">
        <v>76</v>
      </c>
      <c r="H26">
        <f t="shared" si="1"/>
        <v>637.21500000000015</v>
      </c>
      <c r="I26">
        <f t="shared" si="2"/>
        <v>5734.9350000000004</v>
      </c>
      <c r="J26" t="b">
        <f t="shared" si="3"/>
        <v>1</v>
      </c>
      <c r="K26" t="str">
        <f t="shared" si="4"/>
        <v>High revenue</v>
      </c>
    </row>
    <row r="27" spans="1:11" ht="14.25" customHeight="1" x14ac:dyDescent="0.3">
      <c r="A27" s="5" t="s">
        <v>77</v>
      </c>
      <c r="B27" s="5" t="s">
        <v>78</v>
      </c>
      <c r="C27" s="5" t="s">
        <v>44</v>
      </c>
      <c r="D27" s="5">
        <v>48</v>
      </c>
      <c r="E27" s="5">
        <v>88.25</v>
      </c>
      <c r="F27">
        <f t="shared" si="0"/>
        <v>4236</v>
      </c>
      <c r="G27" s="6" t="s">
        <v>58</v>
      </c>
      <c r="H27">
        <f t="shared" si="1"/>
        <v>550.68000000000006</v>
      </c>
      <c r="I27">
        <f t="shared" si="2"/>
        <v>3685.3199999999997</v>
      </c>
      <c r="J27" t="b">
        <f t="shared" si="3"/>
        <v>1</v>
      </c>
      <c r="K27" t="str">
        <f t="shared" si="4"/>
        <v>High revenue</v>
      </c>
    </row>
    <row r="28" spans="1:11" ht="14.25" customHeight="1" x14ac:dyDescent="0.3">
      <c r="A28" s="5" t="s">
        <v>79</v>
      </c>
      <c r="B28" s="5" t="s">
        <v>80</v>
      </c>
      <c r="C28" s="5" t="s">
        <v>44</v>
      </c>
      <c r="D28" s="5">
        <v>40</v>
      </c>
      <c r="E28" s="5">
        <v>32.409999999999997</v>
      </c>
      <c r="F28">
        <f t="shared" si="0"/>
        <v>1296.3999999999999</v>
      </c>
      <c r="G28" s="6" t="s">
        <v>50</v>
      </c>
      <c r="H28">
        <f t="shared" si="1"/>
        <v>90.748000000000005</v>
      </c>
      <c r="I28">
        <f t="shared" si="2"/>
        <v>1205.6519999999998</v>
      </c>
      <c r="J28" t="b">
        <f t="shared" si="3"/>
        <v>1</v>
      </c>
      <c r="K28" t="str">
        <f t="shared" si="4"/>
        <v>High revenue</v>
      </c>
    </row>
    <row r="29" spans="1:11" ht="14.25" customHeight="1" x14ac:dyDescent="0.3">
      <c r="A29" s="5" t="s">
        <v>81</v>
      </c>
      <c r="B29" s="5" t="s">
        <v>82</v>
      </c>
      <c r="C29" s="5" t="s">
        <v>44</v>
      </c>
      <c r="D29" s="5">
        <v>34</v>
      </c>
      <c r="E29" s="5">
        <v>361.65</v>
      </c>
      <c r="F29">
        <f t="shared" si="0"/>
        <v>12296.099999999999</v>
      </c>
      <c r="G29" s="6" t="s">
        <v>76</v>
      </c>
      <c r="H29">
        <f t="shared" si="1"/>
        <v>1229.6099999999999</v>
      </c>
      <c r="I29">
        <f t="shared" si="2"/>
        <v>11066.489999999998</v>
      </c>
      <c r="J29" t="b">
        <f t="shared" si="3"/>
        <v>1</v>
      </c>
      <c r="K29" t="str">
        <f t="shared" si="4"/>
        <v>High revenue</v>
      </c>
    </row>
    <row r="30" spans="1:11" ht="14.25" customHeight="1" x14ac:dyDescent="0.3">
      <c r="A30" s="5" t="s">
        <v>83</v>
      </c>
      <c r="B30" s="5" t="s">
        <v>84</v>
      </c>
      <c r="C30" s="5" t="s">
        <v>38</v>
      </c>
      <c r="D30" s="5">
        <v>4</v>
      </c>
      <c r="E30" s="5">
        <v>237.32</v>
      </c>
      <c r="F30">
        <f t="shared" si="0"/>
        <v>949.28</v>
      </c>
      <c r="G30" s="6" t="s">
        <v>28</v>
      </c>
      <c r="H30">
        <f t="shared" si="1"/>
        <v>104.4208</v>
      </c>
      <c r="I30">
        <f t="shared" si="2"/>
        <v>844.85919999999999</v>
      </c>
      <c r="J30" t="b">
        <f t="shared" si="3"/>
        <v>0</v>
      </c>
      <c r="K30" t="str">
        <f t="shared" si="4"/>
        <v>Low revenue</v>
      </c>
    </row>
    <row r="31" spans="1:11" ht="14.25" customHeight="1" x14ac:dyDescent="0.3">
      <c r="A31" s="5" t="s">
        <v>85</v>
      </c>
      <c r="B31" s="5" t="s">
        <v>86</v>
      </c>
      <c r="C31" s="5" t="s">
        <v>35</v>
      </c>
      <c r="D31" s="5">
        <v>35</v>
      </c>
      <c r="E31" s="5">
        <v>337.56</v>
      </c>
      <c r="F31">
        <f t="shared" si="0"/>
        <v>11814.6</v>
      </c>
      <c r="G31" s="6" t="s">
        <v>41</v>
      </c>
      <c r="H31">
        <f t="shared" si="1"/>
        <v>590.73</v>
      </c>
      <c r="I31">
        <f t="shared" si="2"/>
        <v>11223.87</v>
      </c>
      <c r="J31" t="b">
        <f t="shared" si="3"/>
        <v>1</v>
      </c>
      <c r="K31" t="str">
        <f t="shared" si="4"/>
        <v>High revenue</v>
      </c>
    </row>
    <row r="32" spans="1:11" ht="14.25" customHeight="1" x14ac:dyDescent="0.3">
      <c r="A32" s="5" t="s">
        <v>87</v>
      </c>
      <c r="B32" s="5" t="s">
        <v>88</v>
      </c>
      <c r="C32" s="5" t="s">
        <v>35</v>
      </c>
      <c r="D32" s="5">
        <v>29</v>
      </c>
      <c r="E32" s="5">
        <v>380.44</v>
      </c>
      <c r="F32">
        <f t="shared" si="0"/>
        <v>11032.76</v>
      </c>
      <c r="G32" s="6" t="s">
        <v>28</v>
      </c>
      <c r="H32">
        <f t="shared" si="1"/>
        <v>1213.6036000000001</v>
      </c>
      <c r="I32">
        <f t="shared" si="2"/>
        <v>9819.1563999999998</v>
      </c>
      <c r="J32" t="b">
        <f t="shared" si="3"/>
        <v>1</v>
      </c>
      <c r="K32" t="str">
        <f t="shared" si="4"/>
        <v>High revenue</v>
      </c>
    </row>
    <row r="33" spans="1:11" ht="14.25" customHeight="1" x14ac:dyDescent="0.3">
      <c r="A33" s="5" t="s">
        <v>89</v>
      </c>
      <c r="B33" s="5" t="s">
        <v>90</v>
      </c>
      <c r="C33" s="5" t="s">
        <v>35</v>
      </c>
      <c r="D33" s="5">
        <v>39</v>
      </c>
      <c r="E33" s="5">
        <v>59.63</v>
      </c>
      <c r="F33">
        <f t="shared" si="0"/>
        <v>2325.5700000000002</v>
      </c>
      <c r="G33" s="6" t="s">
        <v>50</v>
      </c>
      <c r="H33">
        <f t="shared" si="1"/>
        <v>162.78990000000002</v>
      </c>
      <c r="I33">
        <f t="shared" si="2"/>
        <v>2162.7800999999999</v>
      </c>
      <c r="J33" t="b">
        <f t="shared" si="3"/>
        <v>1</v>
      </c>
      <c r="K33" t="str">
        <f t="shared" si="4"/>
        <v>High revenue</v>
      </c>
    </row>
    <row r="34" spans="1:11" ht="14.25" customHeight="1" x14ac:dyDescent="0.3">
      <c r="A34" s="5" t="s">
        <v>91</v>
      </c>
      <c r="B34" s="5" t="s">
        <v>92</v>
      </c>
      <c r="C34" s="5" t="s">
        <v>44</v>
      </c>
      <c r="D34" s="5">
        <v>33</v>
      </c>
      <c r="E34" s="5">
        <v>155.36000000000001</v>
      </c>
      <c r="F34">
        <f t="shared" si="0"/>
        <v>5126.88</v>
      </c>
      <c r="G34" s="6" t="s">
        <v>55</v>
      </c>
      <c r="H34">
        <f t="shared" si="1"/>
        <v>307.61279999999999</v>
      </c>
      <c r="I34">
        <f t="shared" si="2"/>
        <v>4819.2672000000002</v>
      </c>
      <c r="J34" t="b">
        <f t="shared" si="3"/>
        <v>1</v>
      </c>
      <c r="K34" t="str">
        <f t="shared" si="4"/>
        <v>High revenue</v>
      </c>
    </row>
    <row r="35" spans="1:11" ht="14.25" customHeight="1" x14ac:dyDescent="0.3">
      <c r="A35" s="5" t="s">
        <v>93</v>
      </c>
      <c r="B35" s="5" t="s">
        <v>94</v>
      </c>
      <c r="C35" s="5" t="s">
        <v>15</v>
      </c>
      <c r="D35" s="5">
        <v>34</v>
      </c>
      <c r="E35" s="5">
        <v>144.91999999999999</v>
      </c>
      <c r="F35">
        <f t="shared" si="0"/>
        <v>4927.28</v>
      </c>
      <c r="G35" s="6" t="s">
        <v>76</v>
      </c>
      <c r="H35">
        <f t="shared" si="1"/>
        <v>492.72800000000001</v>
      </c>
      <c r="I35">
        <f t="shared" si="2"/>
        <v>4434.5519999999997</v>
      </c>
      <c r="J35" t="b">
        <f t="shared" si="3"/>
        <v>1</v>
      </c>
      <c r="K35" t="str">
        <f t="shared" si="4"/>
        <v>High revenue</v>
      </c>
    </row>
    <row r="36" spans="1:11" ht="14.25" customHeight="1" x14ac:dyDescent="0.3">
      <c r="A36" s="5" t="s">
        <v>95</v>
      </c>
      <c r="B36" s="5" t="s">
        <v>96</v>
      </c>
      <c r="C36" s="5" t="s">
        <v>35</v>
      </c>
      <c r="D36" s="5">
        <v>48</v>
      </c>
      <c r="E36" s="5">
        <v>280.88</v>
      </c>
      <c r="F36">
        <f t="shared" si="0"/>
        <v>13482.24</v>
      </c>
      <c r="G36" s="6" t="s">
        <v>45</v>
      </c>
      <c r="H36">
        <f t="shared" si="1"/>
        <v>2022.3359999999998</v>
      </c>
      <c r="I36">
        <f t="shared" si="2"/>
        <v>11459.904</v>
      </c>
      <c r="J36" t="b">
        <f t="shared" si="3"/>
        <v>1</v>
      </c>
      <c r="K36" t="str">
        <f t="shared" si="4"/>
        <v>High revenue</v>
      </c>
    </row>
    <row r="37" spans="1:11" ht="14.25" customHeight="1" x14ac:dyDescent="0.3">
      <c r="A37" s="5" t="s">
        <v>97</v>
      </c>
      <c r="B37" s="5" t="s">
        <v>98</v>
      </c>
      <c r="C37" s="5" t="s">
        <v>38</v>
      </c>
      <c r="D37" s="5">
        <v>43</v>
      </c>
      <c r="E37" s="5">
        <v>212.54</v>
      </c>
      <c r="F37">
        <f t="shared" si="0"/>
        <v>9139.2199999999993</v>
      </c>
      <c r="G37" s="6" t="s">
        <v>58</v>
      </c>
      <c r="H37">
        <f t="shared" si="1"/>
        <v>1188.0986</v>
      </c>
      <c r="I37">
        <f t="shared" si="2"/>
        <v>7951.1213999999991</v>
      </c>
      <c r="J37" t="b">
        <f t="shared" si="3"/>
        <v>1</v>
      </c>
      <c r="K37" t="str">
        <f t="shared" si="4"/>
        <v>High revenue</v>
      </c>
    </row>
    <row r="38" spans="1:11" ht="14.25" customHeight="1" x14ac:dyDescent="0.3">
      <c r="A38" s="5" t="s">
        <v>99</v>
      </c>
      <c r="B38" s="5" t="s">
        <v>100</v>
      </c>
      <c r="C38" s="5" t="s">
        <v>38</v>
      </c>
      <c r="D38" s="5">
        <v>46</v>
      </c>
      <c r="E38" s="5">
        <v>449.86</v>
      </c>
      <c r="F38">
        <f t="shared" si="0"/>
        <v>20693.560000000001</v>
      </c>
      <c r="G38" s="6" t="s">
        <v>16</v>
      </c>
      <c r="H38">
        <f t="shared" si="1"/>
        <v>1655.4848000000002</v>
      </c>
      <c r="I38">
        <f t="shared" si="2"/>
        <v>19038.075199999999</v>
      </c>
      <c r="J38" t="b">
        <f t="shared" si="3"/>
        <v>1</v>
      </c>
      <c r="K38" t="str">
        <f t="shared" si="4"/>
        <v>High revenue</v>
      </c>
    </row>
    <row r="39" spans="1:11" ht="14.25" customHeight="1" x14ac:dyDescent="0.3">
      <c r="A39" s="5" t="s">
        <v>101</v>
      </c>
      <c r="B39" s="5" t="s">
        <v>102</v>
      </c>
      <c r="C39" s="5" t="s">
        <v>44</v>
      </c>
      <c r="D39" s="5">
        <v>33</v>
      </c>
      <c r="E39" s="5">
        <v>277.52999999999997</v>
      </c>
      <c r="F39">
        <f t="shared" si="0"/>
        <v>9158.49</v>
      </c>
      <c r="G39" s="6" t="s">
        <v>55</v>
      </c>
      <c r="H39">
        <f t="shared" si="1"/>
        <v>549.50939999999991</v>
      </c>
      <c r="I39">
        <f t="shared" si="2"/>
        <v>8608.980599999999</v>
      </c>
      <c r="J39" t="b">
        <f t="shared" si="3"/>
        <v>1</v>
      </c>
      <c r="K39" t="str">
        <f t="shared" si="4"/>
        <v>High revenue</v>
      </c>
    </row>
    <row r="40" spans="1:11" ht="14.25" customHeight="1" x14ac:dyDescent="0.3">
      <c r="A40" s="5" t="s">
        <v>103</v>
      </c>
      <c r="B40" s="5" t="s">
        <v>104</v>
      </c>
      <c r="C40" s="5" t="s">
        <v>44</v>
      </c>
      <c r="D40" s="5">
        <v>34</v>
      </c>
      <c r="E40" s="5">
        <v>381.73</v>
      </c>
      <c r="F40">
        <f t="shared" si="0"/>
        <v>12978.82</v>
      </c>
      <c r="G40" s="6" t="s">
        <v>21</v>
      </c>
      <c r="H40">
        <f t="shared" si="1"/>
        <v>1557.4584</v>
      </c>
      <c r="I40">
        <f t="shared" si="2"/>
        <v>11421.3616</v>
      </c>
      <c r="J40" t="b">
        <f t="shared" si="3"/>
        <v>1</v>
      </c>
      <c r="K40" t="str">
        <f t="shared" si="4"/>
        <v>High revenue</v>
      </c>
    </row>
    <row r="41" spans="1:11" ht="14.25" customHeight="1" x14ac:dyDescent="0.3">
      <c r="A41" s="5" t="s">
        <v>105</v>
      </c>
      <c r="B41" s="5" t="s">
        <v>106</v>
      </c>
      <c r="C41" s="5" t="s">
        <v>15</v>
      </c>
      <c r="D41" s="5">
        <v>46</v>
      </c>
      <c r="E41" s="5">
        <v>137.9</v>
      </c>
      <c r="F41">
        <f t="shared" si="0"/>
        <v>6343.4000000000005</v>
      </c>
      <c r="G41" s="6" t="s">
        <v>50</v>
      </c>
      <c r="H41">
        <f t="shared" si="1"/>
        <v>444.03800000000007</v>
      </c>
      <c r="I41">
        <f t="shared" si="2"/>
        <v>5899.3620000000001</v>
      </c>
      <c r="J41" t="b">
        <f t="shared" si="3"/>
        <v>1</v>
      </c>
      <c r="K41" t="str">
        <f t="shared" si="4"/>
        <v>High revenue</v>
      </c>
    </row>
    <row r="42" spans="1:11" ht="14.25" customHeight="1" x14ac:dyDescent="0.3">
      <c r="A42" s="5" t="s">
        <v>107</v>
      </c>
      <c r="B42" s="5" t="s">
        <v>108</v>
      </c>
      <c r="C42" s="5" t="s">
        <v>15</v>
      </c>
      <c r="D42" s="5">
        <v>25</v>
      </c>
      <c r="E42" s="5">
        <v>149.24</v>
      </c>
      <c r="F42">
        <f t="shared" si="0"/>
        <v>3731</v>
      </c>
      <c r="G42" s="6" t="s">
        <v>55</v>
      </c>
      <c r="H42">
        <f t="shared" si="1"/>
        <v>223.85999999999999</v>
      </c>
      <c r="I42">
        <f t="shared" si="2"/>
        <v>3507.14</v>
      </c>
      <c r="J42" t="b">
        <f t="shared" si="3"/>
        <v>1</v>
      </c>
      <c r="K42" t="str">
        <f t="shared" si="4"/>
        <v>High revenue</v>
      </c>
    </row>
    <row r="43" spans="1:11" ht="14.25" customHeight="1" x14ac:dyDescent="0.3">
      <c r="A43" s="5" t="s">
        <v>109</v>
      </c>
      <c r="B43" s="5" t="s">
        <v>110</v>
      </c>
      <c r="C43" s="5" t="s">
        <v>35</v>
      </c>
      <c r="D43" s="5">
        <v>15</v>
      </c>
      <c r="E43" s="5">
        <v>326.45</v>
      </c>
      <c r="F43">
        <f t="shared" si="0"/>
        <v>4896.75</v>
      </c>
      <c r="G43" s="6" t="s">
        <v>76</v>
      </c>
      <c r="H43">
        <f t="shared" si="1"/>
        <v>489.67500000000001</v>
      </c>
      <c r="I43">
        <f t="shared" si="2"/>
        <v>4407.0749999999998</v>
      </c>
      <c r="J43" t="b">
        <f t="shared" si="3"/>
        <v>1</v>
      </c>
      <c r="K43" t="str">
        <f t="shared" si="4"/>
        <v>High revenue</v>
      </c>
    </row>
    <row r="44" spans="1:11" ht="14.25" customHeight="1" x14ac:dyDescent="0.3">
      <c r="A44" s="5" t="s">
        <v>111</v>
      </c>
      <c r="B44" s="5" t="s">
        <v>112</v>
      </c>
      <c r="C44" s="5" t="s">
        <v>44</v>
      </c>
      <c r="D44" s="5">
        <v>45</v>
      </c>
      <c r="E44" s="5">
        <v>484.59</v>
      </c>
      <c r="F44">
        <f t="shared" si="0"/>
        <v>21806.55</v>
      </c>
      <c r="G44" s="6" t="s">
        <v>41</v>
      </c>
      <c r="H44">
        <f t="shared" si="1"/>
        <v>1090.3275000000001</v>
      </c>
      <c r="I44">
        <f t="shared" si="2"/>
        <v>20716.2225</v>
      </c>
      <c r="J44" t="b">
        <f t="shared" si="3"/>
        <v>1</v>
      </c>
      <c r="K44" t="str">
        <f t="shared" si="4"/>
        <v>High revenue</v>
      </c>
    </row>
    <row r="45" spans="1:11" ht="14.25" customHeight="1" x14ac:dyDescent="0.3">
      <c r="A45" s="5" t="s">
        <v>113</v>
      </c>
      <c r="B45" s="5" t="s">
        <v>114</v>
      </c>
      <c r="C45" s="5" t="s">
        <v>20</v>
      </c>
      <c r="D45" s="5">
        <v>3</v>
      </c>
      <c r="E45" s="5">
        <v>185.04</v>
      </c>
      <c r="F45">
        <f t="shared" si="0"/>
        <v>555.12</v>
      </c>
      <c r="G45" s="6" t="s">
        <v>115</v>
      </c>
      <c r="H45">
        <f t="shared" si="1"/>
        <v>105.47280000000001</v>
      </c>
      <c r="I45">
        <f t="shared" si="2"/>
        <v>449.6472</v>
      </c>
      <c r="J45" t="b">
        <f t="shared" si="3"/>
        <v>0</v>
      </c>
      <c r="K45" t="str">
        <f t="shared" si="4"/>
        <v>Low revenue</v>
      </c>
    </row>
    <row r="46" spans="1:11" ht="14.25" customHeight="1" x14ac:dyDescent="0.3">
      <c r="A46" s="5" t="s">
        <v>116</v>
      </c>
      <c r="B46" s="5" t="s">
        <v>117</v>
      </c>
      <c r="C46" s="5" t="s">
        <v>38</v>
      </c>
      <c r="D46" s="5">
        <v>3</v>
      </c>
      <c r="E46" s="5">
        <v>231.1</v>
      </c>
      <c r="F46">
        <f t="shared" si="0"/>
        <v>693.3</v>
      </c>
      <c r="G46" s="6" t="s">
        <v>16</v>
      </c>
      <c r="H46">
        <f t="shared" si="1"/>
        <v>55.463999999999999</v>
      </c>
      <c r="I46">
        <f t="shared" si="2"/>
        <v>637.83600000000001</v>
      </c>
      <c r="J46" t="b">
        <f t="shared" si="3"/>
        <v>0</v>
      </c>
      <c r="K46" t="str">
        <f t="shared" si="4"/>
        <v>Low revenue</v>
      </c>
    </row>
    <row r="47" spans="1:11" ht="14.25" customHeight="1" x14ac:dyDescent="0.3">
      <c r="A47" s="5" t="s">
        <v>118</v>
      </c>
      <c r="B47" s="5" t="s">
        <v>119</v>
      </c>
      <c r="C47" s="5" t="s">
        <v>38</v>
      </c>
      <c r="D47" s="5">
        <v>13</v>
      </c>
      <c r="E47" s="5">
        <v>126.8</v>
      </c>
      <c r="F47">
        <f t="shared" si="0"/>
        <v>1648.3999999999999</v>
      </c>
      <c r="G47" s="6" t="s">
        <v>21</v>
      </c>
      <c r="H47">
        <f t="shared" si="1"/>
        <v>197.80799999999996</v>
      </c>
      <c r="I47">
        <f t="shared" si="2"/>
        <v>1450.5919999999999</v>
      </c>
      <c r="J47" t="b">
        <f t="shared" si="3"/>
        <v>1</v>
      </c>
      <c r="K47" t="str">
        <f t="shared" si="4"/>
        <v>High revenue</v>
      </c>
    </row>
    <row r="48" spans="1:11" ht="14.25" customHeight="1" x14ac:dyDescent="0.3">
      <c r="A48" s="5" t="s">
        <v>120</v>
      </c>
      <c r="B48" s="5" t="s">
        <v>121</v>
      </c>
      <c r="C48" s="5" t="s">
        <v>20</v>
      </c>
      <c r="D48" s="5">
        <v>21</v>
      </c>
      <c r="E48" s="5">
        <v>339.87</v>
      </c>
      <c r="F48">
        <f t="shared" si="0"/>
        <v>7137.27</v>
      </c>
      <c r="G48" s="6" t="s">
        <v>58</v>
      </c>
      <c r="H48">
        <f t="shared" si="1"/>
        <v>927.84510000000012</v>
      </c>
      <c r="I48">
        <f t="shared" si="2"/>
        <v>6209.4249</v>
      </c>
      <c r="J48" t="b">
        <f t="shared" si="3"/>
        <v>1</v>
      </c>
      <c r="K48" t="str">
        <f t="shared" si="4"/>
        <v>High revenue</v>
      </c>
    </row>
    <row r="49" spans="1:11" ht="14.25" customHeight="1" x14ac:dyDescent="0.3">
      <c r="A49" s="5" t="s">
        <v>122</v>
      </c>
      <c r="B49" s="5" t="s">
        <v>123</v>
      </c>
      <c r="C49" s="5" t="s">
        <v>38</v>
      </c>
      <c r="D49" s="5">
        <v>17</v>
      </c>
      <c r="E49" s="5">
        <v>489.65</v>
      </c>
      <c r="F49">
        <f t="shared" si="0"/>
        <v>8324.0499999999993</v>
      </c>
      <c r="G49" s="6" t="s">
        <v>76</v>
      </c>
      <c r="H49">
        <f t="shared" si="1"/>
        <v>832.40499999999997</v>
      </c>
      <c r="I49">
        <f t="shared" si="2"/>
        <v>7491.6449999999995</v>
      </c>
      <c r="J49" t="b">
        <f t="shared" si="3"/>
        <v>1</v>
      </c>
      <c r="K49" t="str">
        <f t="shared" si="4"/>
        <v>High revenue</v>
      </c>
    </row>
    <row r="50" spans="1:11" ht="14.25" customHeight="1" x14ac:dyDescent="0.3">
      <c r="A50" s="5" t="s">
        <v>124</v>
      </c>
      <c r="B50" s="5" t="s">
        <v>125</v>
      </c>
      <c r="C50" s="5" t="s">
        <v>35</v>
      </c>
      <c r="D50" s="5">
        <v>38</v>
      </c>
      <c r="E50" s="5">
        <v>35.380000000000003</v>
      </c>
      <c r="F50">
        <f t="shared" si="0"/>
        <v>1344.44</v>
      </c>
      <c r="G50" s="6" t="s">
        <v>76</v>
      </c>
      <c r="H50">
        <f t="shared" si="1"/>
        <v>134.44400000000002</v>
      </c>
      <c r="I50">
        <f t="shared" si="2"/>
        <v>1209.9960000000001</v>
      </c>
      <c r="J50" t="b">
        <f t="shared" si="3"/>
        <v>1</v>
      </c>
      <c r="K50" t="str">
        <f t="shared" si="4"/>
        <v>High revenue</v>
      </c>
    </row>
    <row r="51" spans="1:11" ht="14.25" customHeight="1" x14ac:dyDescent="0.3">
      <c r="A51" s="5" t="s">
        <v>126</v>
      </c>
      <c r="B51" s="5" t="s">
        <v>127</v>
      </c>
      <c r="C51" s="5" t="s">
        <v>44</v>
      </c>
      <c r="D51" s="5">
        <v>25</v>
      </c>
      <c r="E51" s="5">
        <v>497.57</v>
      </c>
      <c r="F51">
        <f t="shared" si="0"/>
        <v>12439.25</v>
      </c>
      <c r="G51" s="6" t="s">
        <v>50</v>
      </c>
      <c r="H51">
        <f t="shared" si="1"/>
        <v>870.74750000000006</v>
      </c>
      <c r="I51">
        <f t="shared" si="2"/>
        <v>11568.502500000001</v>
      </c>
      <c r="J51" t="b">
        <f t="shared" si="3"/>
        <v>1</v>
      </c>
      <c r="K51" t="str">
        <f t="shared" si="4"/>
        <v>High revenue</v>
      </c>
    </row>
    <row r="52" spans="1:11" ht="14.25" customHeight="1" x14ac:dyDescent="0.3">
      <c r="A52" s="5" t="s">
        <v>128</v>
      </c>
      <c r="B52" s="5" t="s">
        <v>129</v>
      </c>
      <c r="C52" s="5" t="s">
        <v>35</v>
      </c>
      <c r="D52" s="5">
        <v>24</v>
      </c>
      <c r="E52" s="5">
        <v>452.99</v>
      </c>
      <c r="F52">
        <f t="shared" si="0"/>
        <v>10871.76</v>
      </c>
      <c r="G52" s="6" t="s">
        <v>45</v>
      </c>
      <c r="H52">
        <f t="shared" si="1"/>
        <v>1630.7639999999999</v>
      </c>
      <c r="I52">
        <f t="shared" si="2"/>
        <v>9240.996000000001</v>
      </c>
      <c r="J52" t="b">
        <f t="shared" si="3"/>
        <v>1</v>
      </c>
      <c r="K52" t="str">
        <f t="shared" si="4"/>
        <v>High revenue</v>
      </c>
    </row>
    <row r="53" spans="1:11" ht="14.25" customHeight="1" x14ac:dyDescent="0.3">
      <c r="A53" s="5" t="s">
        <v>130</v>
      </c>
      <c r="B53" s="5" t="s">
        <v>131</v>
      </c>
      <c r="C53" s="5" t="s">
        <v>38</v>
      </c>
      <c r="D53" s="5">
        <v>43</v>
      </c>
      <c r="E53" s="5">
        <v>489.9</v>
      </c>
      <c r="F53">
        <f t="shared" si="0"/>
        <v>21065.7</v>
      </c>
      <c r="G53" s="6" t="s">
        <v>58</v>
      </c>
      <c r="H53">
        <f t="shared" si="1"/>
        <v>2738.5410000000002</v>
      </c>
      <c r="I53">
        <f t="shared" si="2"/>
        <v>18327.159</v>
      </c>
      <c r="J53" t="b">
        <f t="shared" si="3"/>
        <v>1</v>
      </c>
      <c r="K53" t="str">
        <f t="shared" si="4"/>
        <v>High revenue</v>
      </c>
    </row>
    <row r="54" spans="1:11" ht="14.25" customHeight="1" x14ac:dyDescent="0.3">
      <c r="A54" s="5" t="s">
        <v>132</v>
      </c>
      <c r="B54" s="5" t="s">
        <v>133</v>
      </c>
      <c r="C54" s="5" t="s">
        <v>35</v>
      </c>
      <c r="D54" s="5">
        <v>5</v>
      </c>
      <c r="E54" s="5">
        <v>50.02</v>
      </c>
      <c r="F54">
        <f t="shared" si="0"/>
        <v>250.10000000000002</v>
      </c>
      <c r="G54" s="6" t="s">
        <v>134</v>
      </c>
      <c r="H54">
        <f t="shared" si="1"/>
        <v>35.01400000000001</v>
      </c>
      <c r="I54">
        <f t="shared" si="2"/>
        <v>215.08600000000001</v>
      </c>
      <c r="J54" t="b">
        <f t="shared" si="3"/>
        <v>0</v>
      </c>
      <c r="K54" t="str">
        <f t="shared" si="4"/>
        <v>Low revenue</v>
      </c>
    </row>
    <row r="55" spans="1:11" ht="14.25" customHeight="1" x14ac:dyDescent="0.3"/>
    <row r="56" spans="1:11" ht="14.25" customHeight="1" x14ac:dyDescent="0.3"/>
    <row r="57" spans="1:11" ht="14.25" customHeight="1" x14ac:dyDescent="0.3"/>
    <row r="58" spans="1:11" ht="14.25" customHeight="1" x14ac:dyDescent="0.3"/>
    <row r="59" spans="1:11" ht="14.25" customHeight="1" x14ac:dyDescent="0.3"/>
    <row r="60" spans="1:11" ht="14.25" customHeight="1" x14ac:dyDescent="0.3"/>
    <row r="61" spans="1:11" ht="14.25" customHeight="1" x14ac:dyDescent="0.3"/>
    <row r="62" spans="1:11" ht="14.25" customHeight="1" x14ac:dyDescent="0.3"/>
    <row r="63" spans="1:11" ht="14.25" customHeight="1" x14ac:dyDescent="0.3"/>
    <row r="64" spans="1:11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J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gamal</cp:lastModifiedBy>
  <dcterms:created xsi:type="dcterms:W3CDTF">2024-12-15T00:44:56Z</dcterms:created>
  <dcterms:modified xsi:type="dcterms:W3CDTF">2026-01-05T12:14:59Z</dcterms:modified>
</cp:coreProperties>
</file>